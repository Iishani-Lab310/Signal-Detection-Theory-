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D\EXCELCNV\fb2fb716-d247-42e2-855f-73d0d890183f\"/>
    </mc:Choice>
  </mc:AlternateContent>
  <xr:revisionPtr revIDLastSave="0" documentId="8_{4F99017A-7D43-4D03-881C-553A49B908B0}" xr6:coauthVersionLast="47" xr6:coauthVersionMax="47" xr10:uidLastSave="{00000000-0000-0000-0000-000000000000}"/>
  <bookViews>
    <workbookView xWindow="-60" yWindow="-60" windowWidth="15480" windowHeight="11640" xr2:uid="{037D166C-6810-4F19-848D-A15AA507780E}"/>
  </bookViews>
  <sheets>
    <sheet name="in" sheetId="1" r:id="rId1"/>
    <sheet name="Hit_Miss_FA_CR" sheetId="3" r:id="rId2"/>
    <sheet name="Computatio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4" l="1"/>
  <c r="L4" i="4"/>
  <c r="L12" i="4" s="1"/>
  <c r="L5" i="4"/>
  <c r="J102" i="3"/>
  <c r="K102" i="3"/>
  <c r="L102" i="3"/>
  <c r="I102" i="3"/>
  <c r="L13" i="4" l="1"/>
  <c r="L8" i="4"/>
</calcChain>
</file>

<file path=xl/sharedStrings.xml><?xml version="1.0" encoding="utf-8"?>
<sst xmlns="http://schemas.openxmlformats.org/spreadsheetml/2006/main" count="1192" uniqueCount="71">
  <si>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</si>
  <si>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</si>
  <si>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</si>
  <si>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</si>
  <si>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</si>
  <si>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</si>
  <si>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</si>
  <si>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</si>
  <si>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</si>
  <si>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</si>
  <si>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</si>
  <si>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</si>
  <si>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</si>
  <si>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</si>
  <si>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</si>
  <si>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</si>
  <si>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</si>
  <si>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</si>
  <si>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</si>
  <si>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</si>
  <si>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</si>
  <si>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</si>
  <si>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</si>
  <si>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</si>
  <si>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</si>
  <si>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</si>
  <si>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</si>
  <si>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</si>
  <si>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</si>
  <si>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</si>
  <si>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</si>
  <si>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</si>
  <si>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</si>
  <si>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</si>
  <si>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</si>
  <si>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pilot</t>
  </si>
  <si>
    <t>2026-10-04_09h58.42.058</t>
  </si>
  <si>
    <t>Lab 2 Signal Detection Exp.</t>
  </si>
  <si>
    <t>2026.2.4</t>
  </si>
  <si>
    <t>2026-10-04 09h58.42.079730 +0530</t>
  </si>
  <si>
    <t>up</t>
  </si>
  <si>
    <t>HIT</t>
  </si>
  <si>
    <t>Proportion of Hit =  hit/hit+miss</t>
  </si>
  <si>
    <t>MISS</t>
  </si>
  <si>
    <t>FALSE ALARM</t>
  </si>
  <si>
    <t>Proportion of False Alarm = fa/fa+corr rejection</t>
  </si>
  <si>
    <t>CORRECT REJECTION</t>
  </si>
  <si>
    <t>Signal Present (hits+miss)</t>
  </si>
  <si>
    <t>D prime = Z(Hit Rate) − Z(False Alarm Rate)</t>
  </si>
  <si>
    <t>Signal Absent (false alarm+correct rejection)</t>
  </si>
  <si>
    <t>Criterion = -[Z(Hit Rate) + Z(False Alarm Rate)]/2</t>
  </si>
  <si>
    <t>Respond 'Yes'</t>
  </si>
  <si>
    <t>Respond 'No'</t>
  </si>
  <si>
    <t>Z-value for Hit rate</t>
  </si>
  <si>
    <t>Signal Present</t>
  </si>
  <si>
    <t>Hit</t>
  </si>
  <si>
    <t>Miss</t>
  </si>
  <si>
    <t>Signal Absent</t>
  </si>
  <si>
    <t>False Alarm</t>
  </si>
  <si>
    <t>Correct Rejection</t>
  </si>
  <si>
    <t>Z-value for False Alarm rate</t>
  </si>
  <si>
    <t xml:space="preserve">Signal </t>
  </si>
  <si>
    <t>Response</t>
  </si>
  <si>
    <t>absent</t>
  </si>
  <si>
    <t>no</t>
  </si>
  <si>
    <t>present</t>
  </si>
  <si>
    <t>Total</t>
  </si>
  <si>
    <t>prop hit = hit/hit+miss</t>
  </si>
  <si>
    <t>prop fa = fa/fa+corr rejection</t>
  </si>
  <si>
    <t>d-prime = z(prop hit)-z(prop fa)</t>
  </si>
  <si>
    <t>c = -z(prop hit) + z(prop fa)/2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</si>
</sst>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18" fillId="0" borderId="0" xfId="0" applyFont="1"/>
    <xf numFmtId="0" fontId="16" fillId="0" borderId="11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18" fillId="0" borderId="10" xfId="0" applyFont="1" applyBorder="1"/>
    <xf numFmtId="0" fontId="0" fillId="0" borderId="10" xfId="0" applyBorder="1" applyAlignment="1">
      <alignment horizontal="center" wrapText="1"/>
    </xf>
    <xf numFmtId="0" fontId="0" fillId="33" borderId="10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Types of Responses Given Across 100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in!$B$108:$B$111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in!$C$108:$C$111</c:f>
              <c:numCache>
                <c:formatCode>General</c:formatCode>
                <c:ptCount val="4"/>
                <c:pt idx="0">
                  <c:v>29</c:v>
                </c:pt>
                <c:pt idx="1">
                  <c:v>22</c:v>
                </c:pt>
                <c:pt idx="2">
                  <c:v>20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F-42BC-9318-C116FDAD6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3"/>
        <c:overlap val="-27"/>
        <c:axId val="1058192903"/>
        <c:axId val="1265996295"/>
      </c:barChart>
      <c:catAx>
        <c:axId val="1058192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96295"/>
        <c:crosses val="autoZero"/>
        <c:auto val="1"/>
        <c:lblAlgn val="ctr"/>
        <c:lblOffset val="100"/>
        <c:noMultiLvlLbl val="0"/>
      </c:catAx>
      <c:valAx>
        <c:axId val="1265996295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92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signal present across 100 trials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F5-4D54-ACE3-D5505CEDB0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F5-4D54-ACE3-D5505CEDB0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in!$B$112:$B$113</c:f>
              <c:strCache>
                <c:ptCount val="2"/>
                <c:pt idx="0">
                  <c:v>Signal Present (hits+miss)</c:v>
                </c:pt>
                <c:pt idx="1">
                  <c:v>Signal Absent (false alarm+correct rejection)</c:v>
                </c:pt>
              </c:strCache>
            </c:strRef>
          </c:cat>
          <c:val>
            <c:numRef>
              <c:f>in!$C$112:$C$113</c:f>
              <c:numCache>
                <c:formatCode>General</c:formatCode>
                <c:ptCount val="2"/>
                <c:pt idx="0">
                  <c:v>51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7-4ABE-9443-1C7CA553E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733425</xdr:colOff>
      <xdr:row>103</xdr:row>
      <xdr:rowOff>47625</xdr:rowOff>
    </xdr:from>
    <xdr:to>
      <xdr:col>16</xdr:col>
      <xdr:colOff>457200</xdr:colOff>
      <xdr:row>117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F68A12-4089-FAE4-1494-7D4CB1E24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190500</xdr:colOff>
      <xdr:row>103</xdr:row>
      <xdr:rowOff>104775</xdr:rowOff>
    </xdr:from>
    <xdr:to>
      <xdr:col>23</xdr:col>
      <xdr:colOff>895350</xdr:colOff>
      <xdr:row>119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13B528-E9C3-28A2-AAEC-F53268484529}"/>
            </a:ext>
            <a:ext uri="{147F2762-F138-4A5C-976F-8EAC2B608ADB}">
              <a16:predDERef xmlns:a16="http://schemas.microsoft.com/office/drawing/2014/main" pred="{1DF68A12-4089-FAE4-1494-7D4CB1E24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20C8-644F-4427-B040-27EDBDE56DA2}">
  <dimension ref="A1:AG118"/>
  <sheetViews>
    <sheetView tabSelected="1" topLeftCell="E99" workbookViewId="0">
      <selection activeCell="G121" sqref="G121"/>
    </sheetView>
  </sheetViews>
  <sheetFormatPr defaultRowHeight="15"/>
  <cols>
    <col min="1" max="1" width="15.85546875" style="2" customWidth="1"/>
    <col min="2" max="2" width="39.5703125" style="2" customWidth="1"/>
    <col min="3" max="3" width="15" style="2" customWidth="1"/>
    <col min="4" max="4" width="19.28515625" style="2" customWidth="1"/>
    <col min="5" max="5" width="15.28515625" style="2" customWidth="1"/>
    <col min="6" max="6" width="43.28515625" style="2" customWidth="1"/>
    <col min="7" max="7" width="17.7109375" style="2" customWidth="1"/>
    <col min="8" max="8" width="13.85546875" style="2" customWidth="1"/>
    <col min="9" max="20" width="9.140625" style="2"/>
    <col min="21" max="21" width="19.85546875" style="2" customWidth="1"/>
    <col min="22" max="22" width="16.7109375" style="2" customWidth="1"/>
    <col min="23" max="23" width="14.42578125" style="2" customWidth="1"/>
    <col min="24" max="24" width="18.42578125" style="2" customWidth="1"/>
    <col min="25" max="27" width="9.140625" style="2"/>
    <col min="28" max="28" width="7.140625" style="2" customWidth="1"/>
    <col min="29" max="29" width="9.140625" style="2"/>
    <col min="30" max="30" width="10.5703125" style="2" customWidth="1"/>
    <col min="31" max="31" width="7.5703125" style="2" customWidth="1"/>
    <col min="32" max="32" width="9.140625" style="2"/>
    <col min="33" max="33" width="21.85546875" style="2" customWidth="1"/>
    <col min="34" max="16384" width="9.140625" style="2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2">
        <v>0</v>
      </c>
      <c r="B2" s="2">
        <v>0</v>
      </c>
      <c r="C2" s="2">
        <v>0</v>
      </c>
      <c r="D2" s="2" t="s">
        <v>33</v>
      </c>
      <c r="E2" s="2">
        <v>1</v>
      </c>
      <c r="F2" s="2">
        <v>6.07355737499892</v>
      </c>
      <c r="G2" s="2" t="s">
        <v>34</v>
      </c>
      <c r="H2" s="2">
        <v>-2</v>
      </c>
      <c r="I2" s="2">
        <v>0</v>
      </c>
      <c r="J2" s="2">
        <v>0</v>
      </c>
      <c r="K2" s="2">
        <v>0</v>
      </c>
      <c r="L2" s="2">
        <v>0</v>
      </c>
      <c r="M2" s="2">
        <v>2.36384166637435E-2</v>
      </c>
      <c r="O2" s="2" t="b">
        <v>1</v>
      </c>
      <c r="P2" s="2">
        <v>1.56486666528508E-2</v>
      </c>
      <c r="Q2" s="2">
        <v>2.36384166637435E-2</v>
      </c>
      <c r="R2" s="2">
        <v>1.0107417916879</v>
      </c>
      <c r="S2" s="2">
        <v>1.02777525002602</v>
      </c>
      <c r="T2" s="2">
        <v>7.1496492082951502</v>
      </c>
      <c r="U2" s="2" t="s">
        <v>33</v>
      </c>
      <c r="V2" s="2">
        <v>1</v>
      </c>
      <c r="W2" s="2">
        <v>6.07355737499892</v>
      </c>
      <c r="X2" s="2" t="s">
        <v>34</v>
      </c>
      <c r="Y2" s="2">
        <v>-2</v>
      </c>
      <c r="Z2" s="2" t="s">
        <v>35</v>
      </c>
      <c r="AA2" s="2">
        <v>1</v>
      </c>
      <c r="AB2" s="2" t="s">
        <v>36</v>
      </c>
      <c r="AC2" s="2" t="s">
        <v>37</v>
      </c>
      <c r="AE2" s="2" t="s">
        <v>38</v>
      </c>
      <c r="AF2" s="2">
        <v>59.966074217912599</v>
      </c>
      <c r="AG2" s="2" t="s">
        <v>39</v>
      </c>
    </row>
    <row r="3" spans="1:33">
      <c r="A3" s="2">
        <v>1</v>
      </c>
      <c r="B3" s="2">
        <v>0</v>
      </c>
      <c r="C3" s="2">
        <v>1</v>
      </c>
      <c r="D3" s="2" t="s">
        <v>33</v>
      </c>
      <c r="E3" s="2">
        <v>1</v>
      </c>
      <c r="F3" s="2">
        <v>1.7719290417153299</v>
      </c>
      <c r="G3" s="2" t="s">
        <v>34</v>
      </c>
      <c r="H3" s="2">
        <v>-1</v>
      </c>
      <c r="I3" s="2">
        <v>1</v>
      </c>
      <c r="J3" s="2">
        <v>0</v>
      </c>
      <c r="K3" s="2">
        <v>1</v>
      </c>
      <c r="L3" s="2">
        <v>0</v>
      </c>
      <c r="M3" s="2">
        <v>7.1600905000232098</v>
      </c>
      <c r="P3" s="2">
        <v>7.1497774999588701</v>
      </c>
      <c r="Q3" s="2">
        <v>7.1600905000232098</v>
      </c>
      <c r="R3" s="2">
        <v>8.1612699583638406</v>
      </c>
      <c r="S3" s="2">
        <v>8.1612699583638406</v>
      </c>
      <c r="T3" s="2">
        <v>9.9569702083244902</v>
      </c>
      <c r="U3" s="2" t="s">
        <v>33</v>
      </c>
      <c r="V3" s="2">
        <v>1</v>
      </c>
      <c r="W3" s="2">
        <v>1.7719290417153299</v>
      </c>
      <c r="X3" s="2" t="s">
        <v>34</v>
      </c>
      <c r="Y3" s="2">
        <v>-1</v>
      </c>
      <c r="Z3" s="2" t="s">
        <v>35</v>
      </c>
      <c r="AA3" s="2">
        <v>1</v>
      </c>
      <c r="AB3" s="2" t="s">
        <v>36</v>
      </c>
      <c r="AC3" s="2" t="s">
        <v>37</v>
      </c>
      <c r="AE3" s="2" t="s">
        <v>38</v>
      </c>
      <c r="AF3" s="2">
        <v>59.966074217912599</v>
      </c>
      <c r="AG3" s="2" t="s">
        <v>39</v>
      </c>
    </row>
    <row r="4" spans="1:33">
      <c r="A4" s="2">
        <v>2</v>
      </c>
      <c r="B4" s="2">
        <v>0</v>
      </c>
      <c r="C4" s="2">
        <v>2</v>
      </c>
      <c r="D4" s="2" t="s">
        <v>33</v>
      </c>
      <c r="E4" s="2">
        <v>1</v>
      </c>
      <c r="F4" s="2">
        <v>1.5529683750355601</v>
      </c>
      <c r="G4" s="2" t="s">
        <v>34</v>
      </c>
      <c r="H4" s="2">
        <v>2</v>
      </c>
      <c r="I4" s="2">
        <v>2</v>
      </c>
      <c r="J4" s="2">
        <v>0</v>
      </c>
      <c r="K4" s="2">
        <v>2</v>
      </c>
      <c r="L4" s="2">
        <v>0</v>
      </c>
      <c r="M4" s="2">
        <v>9.96119133336469</v>
      </c>
      <c r="P4" s="2">
        <v>9.9571985832881094</v>
      </c>
      <c r="Q4" s="2">
        <v>9.96119133336469</v>
      </c>
      <c r="R4" s="2">
        <v>10.9612732916139</v>
      </c>
      <c r="S4" s="2">
        <v>10.9612732916139</v>
      </c>
      <c r="T4" s="2">
        <v>12.515886541688801</v>
      </c>
      <c r="U4" s="2" t="s">
        <v>33</v>
      </c>
      <c r="V4" s="2">
        <v>1</v>
      </c>
      <c r="W4" s="2">
        <v>1.5529683750355601</v>
      </c>
      <c r="X4" s="2" t="s">
        <v>34</v>
      </c>
      <c r="Y4" s="2">
        <v>2</v>
      </c>
      <c r="Z4" s="2" t="s">
        <v>35</v>
      </c>
      <c r="AA4" s="2">
        <v>1</v>
      </c>
      <c r="AB4" s="2" t="s">
        <v>36</v>
      </c>
      <c r="AC4" s="2" t="s">
        <v>37</v>
      </c>
      <c r="AE4" s="2" t="s">
        <v>38</v>
      </c>
      <c r="AF4" s="2">
        <v>59.966074217912599</v>
      </c>
      <c r="AG4" s="2" t="s">
        <v>39</v>
      </c>
    </row>
    <row r="5" spans="1:33">
      <c r="A5" s="2">
        <v>3</v>
      </c>
      <c r="B5" s="2">
        <v>0</v>
      </c>
      <c r="C5" s="2">
        <v>3</v>
      </c>
      <c r="D5" s="2" t="s">
        <v>33</v>
      </c>
      <c r="E5" s="2">
        <v>0</v>
      </c>
      <c r="F5" s="2">
        <v>1.3562319999327801</v>
      </c>
      <c r="G5" s="2" t="s">
        <v>34</v>
      </c>
      <c r="H5" s="2">
        <v>0</v>
      </c>
      <c r="I5" s="2">
        <v>3</v>
      </c>
      <c r="J5" s="2">
        <v>0</v>
      </c>
      <c r="K5" s="2">
        <v>3</v>
      </c>
      <c r="L5" s="2">
        <v>0</v>
      </c>
      <c r="M5" s="2">
        <v>12.5306052083615</v>
      </c>
      <c r="P5" s="2">
        <v>12.5161493750056</v>
      </c>
      <c r="Q5" s="2">
        <v>12.5306052083615</v>
      </c>
      <c r="R5" s="2">
        <v>13.527898999978699</v>
      </c>
      <c r="S5" s="2">
        <v>13.54469362495</v>
      </c>
      <c r="T5" s="2">
        <v>14.9006352917058</v>
      </c>
      <c r="U5" s="2" t="s">
        <v>33</v>
      </c>
      <c r="V5" s="2">
        <v>0</v>
      </c>
      <c r="W5" s="2">
        <v>1.3562319999327801</v>
      </c>
      <c r="X5" s="2" t="s">
        <v>34</v>
      </c>
      <c r="Y5" s="2">
        <v>0</v>
      </c>
      <c r="Z5" s="2" t="s">
        <v>35</v>
      </c>
      <c r="AA5" s="2">
        <v>1</v>
      </c>
      <c r="AB5" s="2" t="s">
        <v>36</v>
      </c>
      <c r="AC5" s="2" t="s">
        <v>37</v>
      </c>
      <c r="AE5" s="2" t="s">
        <v>38</v>
      </c>
      <c r="AF5" s="2">
        <v>59.966074217912599</v>
      </c>
      <c r="AG5" s="2" t="s">
        <v>39</v>
      </c>
    </row>
    <row r="6" spans="1:33">
      <c r="A6" s="2">
        <v>4</v>
      </c>
      <c r="B6" s="2">
        <v>0</v>
      </c>
      <c r="C6" s="2">
        <v>4</v>
      </c>
      <c r="D6" s="2" t="s">
        <v>33</v>
      </c>
      <c r="E6" s="2">
        <v>1</v>
      </c>
      <c r="F6" s="2">
        <v>1.25803704175632</v>
      </c>
      <c r="G6" s="2" t="s">
        <v>34</v>
      </c>
      <c r="H6" s="2">
        <v>0</v>
      </c>
      <c r="I6" s="2">
        <v>4</v>
      </c>
      <c r="J6" s="2">
        <v>0</v>
      </c>
      <c r="K6" s="2">
        <v>4</v>
      </c>
      <c r="L6" s="2">
        <v>0</v>
      </c>
      <c r="M6" s="2">
        <v>14.9109123749658</v>
      </c>
      <c r="P6" s="2">
        <v>14.9009966666344</v>
      </c>
      <c r="Q6" s="2">
        <v>14.9109123749658</v>
      </c>
      <c r="R6" s="2">
        <v>15.911329083377399</v>
      </c>
      <c r="S6" s="2">
        <v>15.911329083377399</v>
      </c>
      <c r="T6" s="2">
        <v>17.182877083308899</v>
      </c>
      <c r="U6" s="2" t="s">
        <v>33</v>
      </c>
      <c r="V6" s="2">
        <v>1</v>
      </c>
      <c r="W6" s="2">
        <v>1.25803704175632</v>
      </c>
      <c r="X6" s="2" t="s">
        <v>34</v>
      </c>
      <c r="Y6" s="2">
        <v>0</v>
      </c>
      <c r="Z6" s="2" t="s">
        <v>35</v>
      </c>
      <c r="AA6" s="2">
        <v>1</v>
      </c>
      <c r="AB6" s="2" t="s">
        <v>36</v>
      </c>
      <c r="AC6" s="2" t="s">
        <v>37</v>
      </c>
      <c r="AE6" s="2" t="s">
        <v>38</v>
      </c>
      <c r="AF6" s="2">
        <v>59.966074217912599</v>
      </c>
      <c r="AG6" s="2" t="s">
        <v>39</v>
      </c>
    </row>
    <row r="7" spans="1:33">
      <c r="A7" s="2">
        <v>5</v>
      </c>
      <c r="B7" s="2">
        <v>0</v>
      </c>
      <c r="C7" s="2">
        <v>5</v>
      </c>
      <c r="D7" s="2" t="s">
        <v>40</v>
      </c>
      <c r="E7" s="2">
        <v>1</v>
      </c>
      <c r="F7" s="2">
        <v>1.55232987494673</v>
      </c>
      <c r="G7" s="2" t="s">
        <v>34</v>
      </c>
      <c r="H7" s="2">
        <v>0</v>
      </c>
      <c r="I7" s="2">
        <v>5</v>
      </c>
      <c r="J7" s="2">
        <v>0</v>
      </c>
      <c r="K7" s="2">
        <v>5</v>
      </c>
      <c r="L7" s="2">
        <v>0</v>
      </c>
      <c r="M7" s="2">
        <v>17.194522000034301</v>
      </c>
      <c r="P7" s="2">
        <v>17.183110374957302</v>
      </c>
      <c r="Q7" s="2">
        <v>17.194522000034301</v>
      </c>
      <c r="R7" s="2">
        <v>18.1946460000472</v>
      </c>
      <c r="S7" s="2">
        <v>18.1946460000472</v>
      </c>
      <c r="T7" s="2">
        <v>19.749771374976199</v>
      </c>
      <c r="U7" s="2" t="s">
        <v>40</v>
      </c>
      <c r="V7" s="2">
        <v>1</v>
      </c>
      <c r="W7" s="2">
        <v>1.55232987494673</v>
      </c>
      <c r="X7" s="2" t="s">
        <v>34</v>
      </c>
      <c r="Y7" s="2">
        <v>0</v>
      </c>
      <c r="Z7" s="2" t="s">
        <v>35</v>
      </c>
      <c r="AA7" s="2">
        <v>1</v>
      </c>
      <c r="AB7" s="2" t="s">
        <v>36</v>
      </c>
      <c r="AC7" s="2" t="s">
        <v>37</v>
      </c>
      <c r="AE7" s="2" t="s">
        <v>38</v>
      </c>
      <c r="AF7" s="2">
        <v>59.966074217912599</v>
      </c>
      <c r="AG7" s="2" t="s">
        <v>39</v>
      </c>
    </row>
    <row r="8" spans="1:33">
      <c r="A8" s="2">
        <v>6</v>
      </c>
      <c r="B8" s="2">
        <v>0</v>
      </c>
      <c r="C8" s="2">
        <v>6</v>
      </c>
      <c r="D8" s="2" t="s">
        <v>33</v>
      </c>
      <c r="E8" s="2">
        <v>0</v>
      </c>
      <c r="F8" s="2">
        <v>1.3618048332864401</v>
      </c>
      <c r="G8" s="2" t="s">
        <v>34</v>
      </c>
      <c r="H8" s="2">
        <v>0</v>
      </c>
      <c r="I8" s="2">
        <v>6</v>
      </c>
      <c r="J8" s="2">
        <v>0</v>
      </c>
      <c r="K8" s="2">
        <v>6</v>
      </c>
      <c r="L8" s="2">
        <v>0</v>
      </c>
      <c r="M8" s="2">
        <v>19.763380458345601</v>
      </c>
      <c r="P8" s="2">
        <v>19.750017791637202</v>
      </c>
      <c r="Q8" s="2">
        <v>19.763380458345601</v>
      </c>
      <c r="R8" s="2">
        <v>20.761179666616901</v>
      </c>
      <c r="S8" s="2">
        <v>20.777807083330099</v>
      </c>
      <c r="T8" s="2">
        <v>22.132481500040701</v>
      </c>
      <c r="U8" s="2" t="s">
        <v>33</v>
      </c>
      <c r="V8" s="2">
        <v>0</v>
      </c>
      <c r="W8" s="2">
        <v>1.3618048332864401</v>
      </c>
      <c r="X8" s="2" t="s">
        <v>34</v>
      </c>
      <c r="Y8" s="2">
        <v>0</v>
      </c>
      <c r="Z8" s="2" t="s">
        <v>35</v>
      </c>
      <c r="AA8" s="2">
        <v>1</v>
      </c>
      <c r="AB8" s="2" t="s">
        <v>36</v>
      </c>
      <c r="AC8" s="2" t="s">
        <v>37</v>
      </c>
      <c r="AE8" s="2" t="s">
        <v>38</v>
      </c>
      <c r="AF8" s="2">
        <v>59.966074217912599</v>
      </c>
      <c r="AG8" s="2" t="s">
        <v>39</v>
      </c>
    </row>
    <row r="9" spans="1:33">
      <c r="A9" s="2">
        <v>7</v>
      </c>
      <c r="B9" s="2">
        <v>0</v>
      </c>
      <c r="C9" s="2">
        <v>7</v>
      </c>
      <c r="D9" s="2" t="s">
        <v>40</v>
      </c>
      <c r="E9" s="2">
        <v>0</v>
      </c>
      <c r="F9" s="2">
        <v>1.31542287499178</v>
      </c>
      <c r="G9" s="2" t="s">
        <v>34</v>
      </c>
      <c r="H9" s="2">
        <v>-2</v>
      </c>
      <c r="I9" s="2">
        <v>7</v>
      </c>
      <c r="J9" s="2">
        <v>0</v>
      </c>
      <c r="K9" s="2">
        <v>7</v>
      </c>
      <c r="L9" s="2">
        <v>0</v>
      </c>
      <c r="M9" s="2">
        <v>22.144264541682698</v>
      </c>
      <c r="P9" s="2">
        <v>22.132793791708501</v>
      </c>
      <c r="Q9" s="2">
        <v>22.144264541682698</v>
      </c>
      <c r="R9" s="2">
        <v>23.144570791628201</v>
      </c>
      <c r="S9" s="2">
        <v>23.144570791628201</v>
      </c>
      <c r="T9" s="2">
        <v>24.464317041682001</v>
      </c>
      <c r="U9" s="2" t="s">
        <v>40</v>
      </c>
      <c r="V9" s="2">
        <v>0</v>
      </c>
      <c r="W9" s="2">
        <v>1.31542287499178</v>
      </c>
      <c r="X9" s="2" t="s">
        <v>34</v>
      </c>
      <c r="Y9" s="2">
        <v>-2</v>
      </c>
      <c r="Z9" s="2" t="s">
        <v>35</v>
      </c>
      <c r="AA9" s="2">
        <v>1</v>
      </c>
      <c r="AB9" s="2" t="s">
        <v>36</v>
      </c>
      <c r="AC9" s="2" t="s">
        <v>37</v>
      </c>
      <c r="AE9" s="2" t="s">
        <v>38</v>
      </c>
      <c r="AF9" s="2">
        <v>59.966074217912599</v>
      </c>
      <c r="AG9" s="2" t="s">
        <v>39</v>
      </c>
    </row>
    <row r="10" spans="1:33">
      <c r="A10" s="2">
        <v>8</v>
      </c>
      <c r="B10" s="2">
        <v>0</v>
      </c>
      <c r="C10" s="2">
        <v>8</v>
      </c>
      <c r="D10" s="2" t="s">
        <v>40</v>
      </c>
      <c r="E10" s="2">
        <v>0</v>
      </c>
      <c r="F10" s="2">
        <v>1.1630135000450501</v>
      </c>
      <c r="G10" s="2" t="s">
        <v>34</v>
      </c>
      <c r="H10" s="2">
        <v>2</v>
      </c>
      <c r="I10" s="2">
        <v>8</v>
      </c>
      <c r="J10" s="2">
        <v>0</v>
      </c>
      <c r="K10" s="2">
        <v>8</v>
      </c>
      <c r="L10" s="2">
        <v>0</v>
      </c>
      <c r="M10" s="2">
        <v>24.477897791657501</v>
      </c>
      <c r="P10" s="2">
        <v>24.464575499994599</v>
      </c>
      <c r="Q10" s="2">
        <v>24.477897791657501</v>
      </c>
      <c r="R10" s="2">
        <v>25.477929708314999</v>
      </c>
      <c r="S10" s="2">
        <v>25.477929708314999</v>
      </c>
      <c r="T10" s="2">
        <v>26.649288458283898</v>
      </c>
      <c r="U10" s="2" t="s">
        <v>40</v>
      </c>
      <c r="V10" s="2">
        <v>0</v>
      </c>
      <c r="W10" s="2">
        <v>1.1630135000450501</v>
      </c>
      <c r="X10" s="2" t="s">
        <v>34</v>
      </c>
      <c r="Y10" s="2">
        <v>2</v>
      </c>
      <c r="Z10" s="2" t="s">
        <v>35</v>
      </c>
      <c r="AA10" s="2">
        <v>1</v>
      </c>
      <c r="AB10" s="2" t="s">
        <v>36</v>
      </c>
      <c r="AC10" s="2" t="s">
        <v>37</v>
      </c>
      <c r="AE10" s="2" t="s">
        <v>38</v>
      </c>
      <c r="AF10" s="2">
        <v>59.966074217912599</v>
      </c>
      <c r="AG10" s="2" t="s">
        <v>39</v>
      </c>
    </row>
    <row r="11" spans="1:33">
      <c r="A11" s="2">
        <v>9</v>
      </c>
      <c r="B11" s="2">
        <v>0</v>
      </c>
      <c r="C11" s="2">
        <v>9</v>
      </c>
      <c r="D11" s="2" t="s">
        <v>33</v>
      </c>
      <c r="E11" s="2">
        <v>1</v>
      </c>
      <c r="F11" s="2">
        <v>1.49672295839991</v>
      </c>
      <c r="G11" s="2" t="s">
        <v>34</v>
      </c>
      <c r="H11" s="2">
        <v>-5</v>
      </c>
      <c r="I11" s="2">
        <v>9</v>
      </c>
      <c r="J11" s="2">
        <v>0</v>
      </c>
      <c r="K11" s="2">
        <v>9</v>
      </c>
      <c r="L11" s="2">
        <v>0</v>
      </c>
      <c r="M11" s="2">
        <v>26.661242791684298</v>
      </c>
      <c r="P11" s="2">
        <v>26.649448791635201</v>
      </c>
      <c r="Q11" s="2">
        <v>26.661242791684298</v>
      </c>
      <c r="R11" s="2">
        <v>27.661170791718099</v>
      </c>
      <c r="S11" s="2">
        <v>27.661170791718099</v>
      </c>
      <c r="T11" s="2">
        <v>29.165922624990301</v>
      </c>
      <c r="U11" s="2" t="s">
        <v>33</v>
      </c>
      <c r="V11" s="2">
        <v>1</v>
      </c>
      <c r="W11" s="2">
        <v>1.49672295839991</v>
      </c>
      <c r="X11" s="2" t="s">
        <v>34</v>
      </c>
      <c r="Y11" s="2">
        <v>-5</v>
      </c>
      <c r="Z11" s="2" t="s">
        <v>35</v>
      </c>
      <c r="AA11" s="2">
        <v>1</v>
      </c>
      <c r="AB11" s="2" t="s">
        <v>36</v>
      </c>
      <c r="AC11" s="2" t="s">
        <v>37</v>
      </c>
      <c r="AE11" s="2" t="s">
        <v>38</v>
      </c>
      <c r="AF11" s="2">
        <v>59.966074217912599</v>
      </c>
      <c r="AG11" s="2" t="s">
        <v>39</v>
      </c>
    </row>
    <row r="12" spans="1:33">
      <c r="A12" s="2">
        <v>10</v>
      </c>
      <c r="B12" s="2">
        <v>0</v>
      </c>
      <c r="C12" s="2">
        <v>10</v>
      </c>
      <c r="D12" s="2" t="s">
        <v>40</v>
      </c>
      <c r="E12" s="2">
        <v>0</v>
      </c>
      <c r="F12" s="2">
        <v>2.5827748333103902</v>
      </c>
      <c r="G12" s="2" t="s">
        <v>34</v>
      </c>
      <c r="H12" s="2">
        <v>2</v>
      </c>
      <c r="I12" s="2">
        <v>10</v>
      </c>
      <c r="J12" s="2">
        <v>0</v>
      </c>
      <c r="K12" s="2">
        <v>10</v>
      </c>
      <c r="L12" s="2">
        <v>0</v>
      </c>
      <c r="M12" s="2">
        <v>29.177543166675601</v>
      </c>
      <c r="P12" s="2">
        <v>29.166216541663701</v>
      </c>
      <c r="Q12" s="2">
        <v>29.177543166675601</v>
      </c>
      <c r="R12" s="2">
        <v>30.177916333312101</v>
      </c>
      <c r="S12" s="2">
        <v>30.177916333312101</v>
      </c>
      <c r="T12" s="2">
        <v>32.765807833289699</v>
      </c>
      <c r="U12" s="2" t="s">
        <v>40</v>
      </c>
      <c r="V12" s="2">
        <v>0</v>
      </c>
      <c r="W12" s="2">
        <v>2.5827748333103902</v>
      </c>
      <c r="X12" s="2" t="s">
        <v>34</v>
      </c>
      <c r="Y12" s="2">
        <v>2</v>
      </c>
      <c r="Z12" s="2" t="s">
        <v>35</v>
      </c>
      <c r="AA12" s="2">
        <v>1</v>
      </c>
      <c r="AB12" s="2" t="s">
        <v>36</v>
      </c>
      <c r="AC12" s="2" t="s">
        <v>37</v>
      </c>
      <c r="AE12" s="2" t="s">
        <v>38</v>
      </c>
      <c r="AF12" s="2">
        <v>59.966074217912599</v>
      </c>
      <c r="AG12" s="2" t="s">
        <v>39</v>
      </c>
    </row>
    <row r="13" spans="1:33">
      <c r="A13" s="2">
        <v>11</v>
      </c>
      <c r="B13" s="2">
        <v>0</v>
      </c>
      <c r="C13" s="2">
        <v>11</v>
      </c>
      <c r="D13" s="2" t="s">
        <v>40</v>
      </c>
      <c r="E13" s="2">
        <v>0</v>
      </c>
      <c r="F13" s="2">
        <v>1.97173070837743</v>
      </c>
      <c r="G13" s="2" t="s">
        <v>34</v>
      </c>
      <c r="H13" s="2">
        <v>2</v>
      </c>
      <c r="I13" s="2">
        <v>11</v>
      </c>
      <c r="J13" s="2">
        <v>0</v>
      </c>
      <c r="K13" s="2">
        <v>11</v>
      </c>
      <c r="L13" s="2">
        <v>0</v>
      </c>
      <c r="M13" s="2">
        <v>32.777540541719603</v>
      </c>
      <c r="P13" s="2">
        <v>32.766101791639798</v>
      </c>
      <c r="Q13" s="2">
        <v>32.777540541719603</v>
      </c>
      <c r="R13" s="2">
        <v>33.777884166687699</v>
      </c>
      <c r="S13" s="2">
        <v>33.777884166687699</v>
      </c>
      <c r="T13" s="2">
        <v>35.767256708349997</v>
      </c>
      <c r="U13" s="2" t="s">
        <v>40</v>
      </c>
      <c r="V13" s="2">
        <v>0</v>
      </c>
      <c r="W13" s="2">
        <v>1.97173070837743</v>
      </c>
      <c r="X13" s="2" t="s">
        <v>34</v>
      </c>
      <c r="Y13" s="2">
        <v>2</v>
      </c>
      <c r="Z13" s="2" t="s">
        <v>35</v>
      </c>
      <c r="AA13" s="2">
        <v>1</v>
      </c>
      <c r="AB13" s="2" t="s">
        <v>36</v>
      </c>
      <c r="AC13" s="2" t="s">
        <v>37</v>
      </c>
      <c r="AE13" s="2" t="s">
        <v>38</v>
      </c>
      <c r="AF13" s="2">
        <v>59.966074217912599</v>
      </c>
      <c r="AG13" s="2" t="s">
        <v>39</v>
      </c>
    </row>
    <row r="14" spans="1:33">
      <c r="A14" s="2">
        <v>12</v>
      </c>
      <c r="B14" s="2">
        <v>0</v>
      </c>
      <c r="C14" s="2">
        <v>12</v>
      </c>
      <c r="D14" s="2" t="s">
        <v>40</v>
      </c>
      <c r="E14" s="2">
        <v>1</v>
      </c>
      <c r="F14" s="2">
        <v>1.3117352083791001</v>
      </c>
      <c r="G14" s="2" t="s">
        <v>34</v>
      </c>
      <c r="H14" s="2">
        <v>0</v>
      </c>
      <c r="I14" s="2">
        <v>12</v>
      </c>
      <c r="J14" s="2">
        <v>0</v>
      </c>
      <c r="K14" s="2">
        <v>12</v>
      </c>
      <c r="L14" s="2">
        <v>0</v>
      </c>
      <c r="M14" s="2">
        <v>35.777563874959</v>
      </c>
      <c r="P14" s="2">
        <v>35.767526958370503</v>
      </c>
      <c r="Q14" s="2">
        <v>35.777563874959</v>
      </c>
      <c r="R14" s="2">
        <v>36.777944458299302</v>
      </c>
      <c r="S14" s="2">
        <v>36.777944458299302</v>
      </c>
      <c r="T14" s="2">
        <v>38.097472249995903</v>
      </c>
      <c r="U14" s="2" t="s">
        <v>40</v>
      </c>
      <c r="V14" s="2">
        <v>1</v>
      </c>
      <c r="W14" s="2">
        <v>1.3117352083791001</v>
      </c>
      <c r="X14" s="2" t="s">
        <v>34</v>
      </c>
      <c r="Y14" s="2">
        <v>0</v>
      </c>
      <c r="Z14" s="2" t="s">
        <v>35</v>
      </c>
      <c r="AA14" s="2">
        <v>1</v>
      </c>
      <c r="AB14" s="2" t="s">
        <v>36</v>
      </c>
      <c r="AC14" s="2" t="s">
        <v>37</v>
      </c>
      <c r="AE14" s="2" t="s">
        <v>38</v>
      </c>
      <c r="AF14" s="2">
        <v>59.966074217912599</v>
      </c>
      <c r="AG14" s="2" t="s">
        <v>39</v>
      </c>
    </row>
    <row r="15" spans="1:33">
      <c r="A15" s="2">
        <v>13</v>
      </c>
      <c r="B15" s="2">
        <v>0</v>
      </c>
      <c r="C15" s="2">
        <v>13</v>
      </c>
      <c r="D15" s="2" t="s">
        <v>40</v>
      </c>
      <c r="E15" s="2">
        <v>0</v>
      </c>
      <c r="F15" s="2">
        <v>1.6151797083439301</v>
      </c>
      <c r="G15" s="2" t="s">
        <v>34</v>
      </c>
      <c r="H15" s="2">
        <v>-2</v>
      </c>
      <c r="I15" s="2">
        <v>13</v>
      </c>
      <c r="J15" s="2">
        <v>0</v>
      </c>
      <c r="K15" s="2">
        <v>13</v>
      </c>
      <c r="L15" s="2">
        <v>0</v>
      </c>
      <c r="M15" s="2">
        <v>38.111201291671001</v>
      </c>
      <c r="P15" s="2">
        <v>38.097728875000001</v>
      </c>
      <c r="Q15" s="2">
        <v>38.111201291671001</v>
      </c>
      <c r="R15" s="2">
        <v>39.1112968333764</v>
      </c>
      <c r="S15" s="2">
        <v>39.1112968333764</v>
      </c>
      <c r="T15" s="2">
        <v>40.7324773749569</v>
      </c>
      <c r="U15" s="2" t="s">
        <v>40</v>
      </c>
      <c r="V15" s="2">
        <v>0</v>
      </c>
      <c r="W15" s="2">
        <v>1.6151797083439301</v>
      </c>
      <c r="X15" s="2" t="s">
        <v>34</v>
      </c>
      <c r="Y15" s="2">
        <v>-2</v>
      </c>
      <c r="Z15" s="2" t="s">
        <v>35</v>
      </c>
      <c r="AA15" s="2">
        <v>1</v>
      </c>
      <c r="AB15" s="2" t="s">
        <v>36</v>
      </c>
      <c r="AC15" s="2" t="s">
        <v>37</v>
      </c>
      <c r="AE15" s="2" t="s">
        <v>38</v>
      </c>
      <c r="AF15" s="2">
        <v>59.966074217912599</v>
      </c>
      <c r="AG15" s="2" t="s">
        <v>39</v>
      </c>
    </row>
    <row r="16" spans="1:33">
      <c r="A16" s="2">
        <v>14</v>
      </c>
      <c r="B16" s="2">
        <v>0</v>
      </c>
      <c r="C16" s="2">
        <v>14</v>
      </c>
      <c r="D16" s="2" t="s">
        <v>33</v>
      </c>
      <c r="E16" s="2">
        <v>0</v>
      </c>
      <c r="F16" s="2">
        <v>2.1038932499941398</v>
      </c>
      <c r="G16" s="2" t="s">
        <v>34</v>
      </c>
      <c r="H16" s="2">
        <v>0</v>
      </c>
      <c r="I16" s="2">
        <v>14</v>
      </c>
      <c r="J16" s="2">
        <v>0</v>
      </c>
      <c r="K16" s="2">
        <v>14</v>
      </c>
      <c r="L16" s="2">
        <v>0</v>
      </c>
      <c r="M16" s="2">
        <v>40.744200083310702</v>
      </c>
      <c r="P16" s="2">
        <v>40.732731333351602</v>
      </c>
      <c r="Q16" s="2">
        <v>40.744200083310702</v>
      </c>
      <c r="R16" s="2">
        <v>41.744563833344699</v>
      </c>
      <c r="S16" s="2">
        <v>41.744563833344699</v>
      </c>
      <c r="T16" s="2">
        <v>43.867036916664802</v>
      </c>
      <c r="U16" s="2" t="s">
        <v>33</v>
      </c>
      <c r="V16" s="2">
        <v>0</v>
      </c>
      <c r="W16" s="2">
        <v>2.1038932499941398</v>
      </c>
      <c r="X16" s="2" t="s">
        <v>34</v>
      </c>
      <c r="Y16" s="2">
        <v>0</v>
      </c>
      <c r="Z16" s="2" t="s">
        <v>35</v>
      </c>
      <c r="AA16" s="2">
        <v>1</v>
      </c>
      <c r="AB16" s="2" t="s">
        <v>36</v>
      </c>
      <c r="AC16" s="2" t="s">
        <v>37</v>
      </c>
      <c r="AE16" s="2" t="s">
        <v>38</v>
      </c>
      <c r="AF16" s="2">
        <v>59.966074217912599</v>
      </c>
      <c r="AG16" s="2" t="s">
        <v>39</v>
      </c>
    </row>
    <row r="17" spans="1:33">
      <c r="A17" s="2">
        <v>15</v>
      </c>
      <c r="B17" s="2">
        <v>0</v>
      </c>
      <c r="C17" s="2">
        <v>15</v>
      </c>
      <c r="D17" s="2" t="s">
        <v>40</v>
      </c>
      <c r="E17" s="2">
        <v>1</v>
      </c>
      <c r="F17" s="2">
        <v>1.60841762495692</v>
      </c>
      <c r="G17" s="2" t="s">
        <v>34</v>
      </c>
      <c r="H17" s="2">
        <v>0</v>
      </c>
      <c r="I17" s="2">
        <v>15</v>
      </c>
      <c r="J17" s="2">
        <v>0</v>
      </c>
      <c r="K17" s="2">
        <v>15</v>
      </c>
      <c r="L17" s="2">
        <v>0</v>
      </c>
      <c r="M17" s="2">
        <v>43.877462708274798</v>
      </c>
      <c r="P17" s="2">
        <v>43.867253666627199</v>
      </c>
      <c r="Q17" s="2">
        <v>43.877462708274798</v>
      </c>
      <c r="R17" s="2">
        <v>44.877967833308503</v>
      </c>
      <c r="S17" s="2">
        <v>44.877967833308503</v>
      </c>
      <c r="T17" s="2">
        <v>46.499889791710302</v>
      </c>
      <c r="U17" s="2" t="s">
        <v>40</v>
      </c>
      <c r="V17" s="2">
        <v>1</v>
      </c>
      <c r="W17" s="2">
        <v>1.60841762495692</v>
      </c>
      <c r="X17" s="2" t="s">
        <v>34</v>
      </c>
      <c r="Y17" s="2">
        <v>0</v>
      </c>
      <c r="Z17" s="2" t="s">
        <v>35</v>
      </c>
      <c r="AA17" s="2">
        <v>1</v>
      </c>
      <c r="AB17" s="2" t="s">
        <v>36</v>
      </c>
      <c r="AC17" s="2" t="s">
        <v>37</v>
      </c>
      <c r="AE17" s="2" t="s">
        <v>38</v>
      </c>
      <c r="AF17" s="2">
        <v>59.966074217912599</v>
      </c>
      <c r="AG17" s="2" t="s">
        <v>39</v>
      </c>
    </row>
    <row r="18" spans="1:33">
      <c r="A18" s="2">
        <v>16</v>
      </c>
      <c r="B18" s="2">
        <v>0</v>
      </c>
      <c r="C18" s="2">
        <v>16</v>
      </c>
      <c r="D18" s="2" t="s">
        <v>33</v>
      </c>
      <c r="E18" s="2">
        <v>1</v>
      </c>
      <c r="F18" s="2">
        <v>0.90505537507124201</v>
      </c>
      <c r="G18" s="2" t="s">
        <v>34</v>
      </c>
      <c r="H18" s="2">
        <v>-2</v>
      </c>
      <c r="I18" s="2">
        <v>16</v>
      </c>
      <c r="J18" s="2">
        <v>0</v>
      </c>
      <c r="K18" s="2">
        <v>16</v>
      </c>
      <c r="L18" s="2">
        <v>0</v>
      </c>
      <c r="M18" s="2">
        <v>46.511175666702897</v>
      </c>
      <c r="P18" s="2">
        <v>46.500138458330099</v>
      </c>
      <c r="Q18" s="2">
        <v>46.511175666702897</v>
      </c>
      <c r="R18" s="2">
        <v>47.511280374950701</v>
      </c>
      <c r="S18" s="2">
        <v>47.511280374950701</v>
      </c>
      <c r="T18" s="2">
        <v>48.432742666685897</v>
      </c>
      <c r="U18" s="2" t="s">
        <v>33</v>
      </c>
      <c r="V18" s="2">
        <v>1</v>
      </c>
      <c r="W18" s="2">
        <v>0.90505537507124201</v>
      </c>
      <c r="X18" s="2" t="s">
        <v>34</v>
      </c>
      <c r="Y18" s="2">
        <v>-2</v>
      </c>
      <c r="Z18" s="2" t="s">
        <v>35</v>
      </c>
      <c r="AA18" s="2">
        <v>1</v>
      </c>
      <c r="AB18" s="2" t="s">
        <v>36</v>
      </c>
      <c r="AC18" s="2" t="s">
        <v>37</v>
      </c>
      <c r="AE18" s="2" t="s">
        <v>38</v>
      </c>
      <c r="AF18" s="2">
        <v>59.966074217912599</v>
      </c>
      <c r="AG18" s="2" t="s">
        <v>39</v>
      </c>
    </row>
    <row r="19" spans="1:33">
      <c r="A19" s="2">
        <v>17</v>
      </c>
      <c r="B19" s="2">
        <v>0</v>
      </c>
      <c r="C19" s="2">
        <v>17</v>
      </c>
      <c r="D19" s="2" t="s">
        <v>40</v>
      </c>
      <c r="E19" s="2">
        <v>0</v>
      </c>
      <c r="F19" s="2">
        <v>0.88579500000923805</v>
      </c>
      <c r="G19" s="2" t="s">
        <v>34</v>
      </c>
      <c r="H19" s="2">
        <v>4</v>
      </c>
      <c r="I19" s="2">
        <v>17</v>
      </c>
      <c r="J19" s="2">
        <v>0</v>
      </c>
      <c r="K19" s="2">
        <v>17</v>
      </c>
      <c r="L19" s="2">
        <v>0</v>
      </c>
      <c r="M19" s="2">
        <v>48.444498833385197</v>
      </c>
      <c r="P19" s="2">
        <v>48.433000375051002</v>
      </c>
      <c r="Q19" s="2">
        <v>48.444498833385197</v>
      </c>
      <c r="R19" s="2">
        <v>49.444561958312903</v>
      </c>
      <c r="S19" s="2">
        <v>49.444561958312903</v>
      </c>
      <c r="T19" s="2">
        <v>50.331929041654803</v>
      </c>
      <c r="U19" s="2" t="s">
        <v>40</v>
      </c>
      <c r="V19" s="2">
        <v>0</v>
      </c>
      <c r="W19" s="2">
        <v>0.88579500000923805</v>
      </c>
      <c r="X19" s="2" t="s">
        <v>34</v>
      </c>
      <c r="Y19" s="2">
        <v>4</v>
      </c>
      <c r="Z19" s="2" t="s">
        <v>35</v>
      </c>
      <c r="AA19" s="2">
        <v>1</v>
      </c>
      <c r="AB19" s="2" t="s">
        <v>36</v>
      </c>
      <c r="AC19" s="2" t="s">
        <v>37</v>
      </c>
      <c r="AE19" s="2" t="s">
        <v>38</v>
      </c>
      <c r="AF19" s="2">
        <v>59.966074217912599</v>
      </c>
      <c r="AG19" s="2" t="s">
        <v>39</v>
      </c>
    </row>
    <row r="20" spans="1:33">
      <c r="A20" s="2">
        <v>18</v>
      </c>
      <c r="B20" s="2">
        <v>0</v>
      </c>
      <c r="C20" s="2">
        <v>18</v>
      </c>
      <c r="D20" s="2" t="s">
        <v>40</v>
      </c>
      <c r="E20" s="2">
        <v>1</v>
      </c>
      <c r="F20" s="2">
        <v>1.1807031666394301</v>
      </c>
      <c r="G20" s="2" t="s">
        <v>34</v>
      </c>
      <c r="H20" s="2">
        <v>0</v>
      </c>
      <c r="I20" s="2">
        <v>18</v>
      </c>
      <c r="J20" s="2">
        <v>0</v>
      </c>
      <c r="K20" s="2">
        <v>18</v>
      </c>
      <c r="L20" s="2">
        <v>0</v>
      </c>
      <c r="M20" s="2">
        <v>50.346554875024502</v>
      </c>
      <c r="P20" s="2">
        <v>50.332162000006001</v>
      </c>
      <c r="Q20" s="2">
        <v>50.346554875024502</v>
      </c>
      <c r="R20" s="2">
        <v>51.344659666647203</v>
      </c>
      <c r="S20" s="2">
        <v>51.361213916679802</v>
      </c>
      <c r="T20" s="2">
        <v>52.532186916679997</v>
      </c>
      <c r="U20" s="2" t="s">
        <v>40</v>
      </c>
      <c r="V20" s="2">
        <v>1</v>
      </c>
      <c r="W20" s="2">
        <v>1.1807031666394301</v>
      </c>
      <c r="X20" s="2" t="s">
        <v>34</v>
      </c>
      <c r="Y20" s="2">
        <v>0</v>
      </c>
      <c r="Z20" s="2" t="s">
        <v>35</v>
      </c>
      <c r="AA20" s="2">
        <v>1</v>
      </c>
      <c r="AB20" s="2" t="s">
        <v>36</v>
      </c>
      <c r="AC20" s="2" t="s">
        <v>37</v>
      </c>
      <c r="AE20" s="2" t="s">
        <v>38</v>
      </c>
      <c r="AF20" s="2">
        <v>59.966074217912599</v>
      </c>
      <c r="AG20" s="2" t="s">
        <v>39</v>
      </c>
    </row>
    <row r="21" spans="1:33">
      <c r="A21" s="2">
        <v>19</v>
      </c>
      <c r="B21" s="2">
        <v>0</v>
      </c>
      <c r="C21" s="2">
        <v>19</v>
      </c>
      <c r="D21" s="2" t="s">
        <v>40</v>
      </c>
      <c r="E21" s="2">
        <v>1</v>
      </c>
      <c r="F21" s="2">
        <v>1.25965070840902</v>
      </c>
      <c r="G21" s="2" t="s">
        <v>34</v>
      </c>
      <c r="H21" s="2">
        <v>0</v>
      </c>
      <c r="I21" s="2">
        <v>19</v>
      </c>
      <c r="J21" s="2">
        <v>0</v>
      </c>
      <c r="K21" s="2">
        <v>19</v>
      </c>
      <c r="L21" s="2">
        <v>0</v>
      </c>
      <c r="M21" s="2">
        <v>52.544092041673103</v>
      </c>
      <c r="P21" s="2">
        <v>52.532407999969998</v>
      </c>
      <c r="Q21" s="2">
        <v>52.544092041673103</v>
      </c>
      <c r="R21" s="2">
        <v>53.544615958351599</v>
      </c>
      <c r="S21" s="2">
        <v>53.544615958351599</v>
      </c>
      <c r="T21" s="2">
        <v>54.8170646666549</v>
      </c>
      <c r="U21" s="2" t="s">
        <v>40</v>
      </c>
      <c r="V21" s="2">
        <v>1</v>
      </c>
      <c r="W21" s="2">
        <v>1.25965070840902</v>
      </c>
      <c r="X21" s="2" t="s">
        <v>34</v>
      </c>
      <c r="Y21" s="2">
        <v>0</v>
      </c>
      <c r="Z21" s="2" t="s">
        <v>35</v>
      </c>
      <c r="AA21" s="2">
        <v>1</v>
      </c>
      <c r="AB21" s="2" t="s">
        <v>36</v>
      </c>
      <c r="AC21" s="2" t="s">
        <v>37</v>
      </c>
      <c r="AE21" s="2" t="s">
        <v>38</v>
      </c>
      <c r="AF21" s="2">
        <v>59.966074217912599</v>
      </c>
      <c r="AG21" s="2" t="s">
        <v>39</v>
      </c>
    </row>
    <row r="22" spans="1:33">
      <c r="A22" s="2">
        <v>20</v>
      </c>
      <c r="B22" s="2">
        <v>0</v>
      </c>
      <c r="C22" s="2">
        <v>20</v>
      </c>
      <c r="D22" s="2" t="s">
        <v>40</v>
      </c>
      <c r="E22" s="2">
        <v>1</v>
      </c>
      <c r="F22" s="2">
        <v>1.3242831251118301</v>
      </c>
      <c r="G22" s="2" t="s">
        <v>34</v>
      </c>
      <c r="H22" s="2">
        <v>0</v>
      </c>
      <c r="I22" s="2">
        <v>20</v>
      </c>
      <c r="J22" s="2">
        <v>0</v>
      </c>
      <c r="K22" s="2">
        <v>20</v>
      </c>
      <c r="L22" s="2">
        <v>0</v>
      </c>
      <c r="M22" s="2">
        <v>54.827430833363898</v>
      </c>
      <c r="P22" s="2">
        <v>54.8173137083649</v>
      </c>
      <c r="Q22" s="2">
        <v>54.827430833363898</v>
      </c>
      <c r="R22" s="2">
        <v>55.827937458292503</v>
      </c>
      <c r="S22" s="2">
        <v>55.827937458292503</v>
      </c>
      <c r="T22" s="2">
        <v>57.1668635000241</v>
      </c>
      <c r="U22" s="2" t="s">
        <v>40</v>
      </c>
      <c r="V22" s="2">
        <v>1</v>
      </c>
      <c r="W22" s="2">
        <v>1.3242831251118301</v>
      </c>
      <c r="X22" s="2" t="s">
        <v>34</v>
      </c>
      <c r="Y22" s="2">
        <v>0</v>
      </c>
      <c r="Z22" s="2" t="s">
        <v>35</v>
      </c>
      <c r="AA22" s="2">
        <v>1</v>
      </c>
      <c r="AB22" s="2" t="s">
        <v>36</v>
      </c>
      <c r="AC22" s="2" t="s">
        <v>37</v>
      </c>
      <c r="AE22" s="2" t="s">
        <v>38</v>
      </c>
      <c r="AF22" s="2">
        <v>59.966074217912599</v>
      </c>
      <c r="AG22" s="2" t="s">
        <v>39</v>
      </c>
    </row>
    <row r="23" spans="1:33">
      <c r="A23" s="2">
        <v>21</v>
      </c>
      <c r="B23" s="2">
        <v>0</v>
      </c>
      <c r="C23" s="2">
        <v>21</v>
      </c>
      <c r="D23" s="2" t="s">
        <v>33</v>
      </c>
      <c r="E23" s="2">
        <v>1</v>
      </c>
      <c r="F23" s="2">
        <v>1.2752075000898899</v>
      </c>
      <c r="G23" s="2" t="s">
        <v>34</v>
      </c>
      <c r="H23" s="2">
        <v>3</v>
      </c>
      <c r="I23" s="2">
        <v>21</v>
      </c>
      <c r="J23" s="2">
        <v>0</v>
      </c>
      <c r="K23" s="2">
        <v>21</v>
      </c>
      <c r="L23" s="2">
        <v>0</v>
      </c>
      <c r="M23" s="2">
        <v>57.1775454999879</v>
      </c>
      <c r="P23" s="2">
        <v>57.1671124167041</v>
      </c>
      <c r="Q23" s="2">
        <v>57.1775454999879</v>
      </c>
      <c r="R23" s="2">
        <v>58.177931916667099</v>
      </c>
      <c r="S23" s="2">
        <v>58.177931916667099</v>
      </c>
      <c r="T23" s="2">
        <v>59.467268583364699</v>
      </c>
      <c r="U23" s="2" t="s">
        <v>33</v>
      </c>
      <c r="V23" s="2">
        <v>1</v>
      </c>
      <c r="W23" s="2">
        <v>1.2752075000898899</v>
      </c>
      <c r="X23" s="2" t="s">
        <v>34</v>
      </c>
      <c r="Y23" s="2">
        <v>3</v>
      </c>
      <c r="Z23" s="2" t="s">
        <v>35</v>
      </c>
      <c r="AA23" s="2">
        <v>1</v>
      </c>
      <c r="AB23" s="2" t="s">
        <v>36</v>
      </c>
      <c r="AC23" s="2" t="s">
        <v>37</v>
      </c>
      <c r="AE23" s="2" t="s">
        <v>38</v>
      </c>
      <c r="AF23" s="2">
        <v>59.966074217912599</v>
      </c>
      <c r="AG23" s="2" t="s">
        <v>39</v>
      </c>
    </row>
    <row r="24" spans="1:33">
      <c r="A24" s="2">
        <v>22</v>
      </c>
      <c r="B24" s="2">
        <v>0</v>
      </c>
      <c r="C24" s="2">
        <v>22</v>
      </c>
      <c r="D24" s="2" t="s">
        <v>33</v>
      </c>
      <c r="E24" s="2">
        <v>1</v>
      </c>
      <c r="F24" s="2">
        <v>1.33019974990747</v>
      </c>
      <c r="G24" s="2" t="s">
        <v>34</v>
      </c>
      <c r="H24" s="2">
        <v>2</v>
      </c>
      <c r="I24" s="2">
        <v>22</v>
      </c>
      <c r="J24" s="2">
        <v>0</v>
      </c>
      <c r="K24" s="2">
        <v>22</v>
      </c>
      <c r="L24" s="2">
        <v>0</v>
      </c>
      <c r="M24" s="2">
        <v>59.477470624958997</v>
      </c>
      <c r="P24" s="2">
        <v>59.467558041680597</v>
      </c>
      <c r="Q24" s="2">
        <v>59.477470624958997</v>
      </c>
      <c r="R24" s="2">
        <v>60.477888083318199</v>
      </c>
      <c r="S24" s="2">
        <v>60.477888083318199</v>
      </c>
      <c r="T24" s="2">
        <v>61.814216375001699</v>
      </c>
      <c r="U24" s="2" t="s">
        <v>33</v>
      </c>
      <c r="V24" s="2">
        <v>1</v>
      </c>
      <c r="W24" s="2">
        <v>1.33019974990747</v>
      </c>
      <c r="X24" s="2" t="s">
        <v>34</v>
      </c>
      <c r="Y24" s="2">
        <v>2</v>
      </c>
      <c r="Z24" s="2" t="s">
        <v>35</v>
      </c>
      <c r="AA24" s="2">
        <v>1</v>
      </c>
      <c r="AB24" s="2" t="s">
        <v>36</v>
      </c>
      <c r="AC24" s="2" t="s">
        <v>37</v>
      </c>
      <c r="AE24" s="2" t="s">
        <v>38</v>
      </c>
      <c r="AF24" s="2">
        <v>59.966074217912599</v>
      </c>
      <c r="AG24" s="2" t="s">
        <v>39</v>
      </c>
    </row>
    <row r="25" spans="1:33">
      <c r="A25" s="2">
        <v>23</v>
      </c>
      <c r="B25" s="2">
        <v>0</v>
      </c>
      <c r="C25" s="2">
        <v>23</v>
      </c>
      <c r="D25" s="2" t="s">
        <v>40</v>
      </c>
      <c r="E25" s="2">
        <v>0</v>
      </c>
      <c r="F25" s="2">
        <v>1.66616324998904</v>
      </c>
      <c r="G25" s="2" t="s">
        <v>34</v>
      </c>
      <c r="H25" s="2">
        <v>-5</v>
      </c>
      <c r="I25" s="2">
        <v>23</v>
      </c>
      <c r="J25" s="2">
        <v>0</v>
      </c>
      <c r="K25" s="2">
        <v>23</v>
      </c>
      <c r="L25" s="2">
        <v>0</v>
      </c>
      <c r="M25" s="2">
        <v>61.827924916637102</v>
      </c>
      <c r="P25" s="2">
        <v>61.814459125045602</v>
      </c>
      <c r="Q25" s="2">
        <v>61.827924916637102</v>
      </c>
      <c r="R25" s="2">
        <v>62.8278518333099</v>
      </c>
      <c r="S25" s="2">
        <v>62.8278518333099</v>
      </c>
      <c r="T25" s="2">
        <v>64.499210500041897</v>
      </c>
      <c r="U25" s="2" t="s">
        <v>40</v>
      </c>
      <c r="V25" s="2">
        <v>0</v>
      </c>
      <c r="W25" s="2">
        <v>1.66616324998904</v>
      </c>
      <c r="X25" s="2" t="s">
        <v>34</v>
      </c>
      <c r="Y25" s="2">
        <v>-5</v>
      </c>
      <c r="Z25" s="2" t="s">
        <v>35</v>
      </c>
      <c r="AA25" s="2">
        <v>1</v>
      </c>
      <c r="AB25" s="2" t="s">
        <v>36</v>
      </c>
      <c r="AC25" s="2" t="s">
        <v>37</v>
      </c>
      <c r="AE25" s="2" t="s">
        <v>38</v>
      </c>
      <c r="AF25" s="2">
        <v>59.966074217912599</v>
      </c>
      <c r="AG25" s="2" t="s">
        <v>39</v>
      </c>
    </row>
    <row r="26" spans="1:33">
      <c r="A26" s="2">
        <v>24</v>
      </c>
      <c r="B26" s="2">
        <v>0</v>
      </c>
      <c r="C26" s="2">
        <v>24</v>
      </c>
      <c r="D26" s="2" t="s">
        <v>33</v>
      </c>
      <c r="E26" s="2">
        <v>1</v>
      </c>
      <c r="F26" s="2">
        <v>2.4098972500069</v>
      </c>
      <c r="G26" s="2" t="s">
        <v>34</v>
      </c>
      <c r="H26" s="2">
        <v>4</v>
      </c>
      <c r="I26" s="2">
        <v>24</v>
      </c>
      <c r="J26" s="2">
        <v>0</v>
      </c>
      <c r="K26" s="2">
        <v>24</v>
      </c>
      <c r="L26" s="2">
        <v>0</v>
      </c>
      <c r="M26" s="2">
        <v>64.510815500048906</v>
      </c>
      <c r="P26" s="2">
        <v>64.499508999986503</v>
      </c>
      <c r="Q26" s="2">
        <v>64.510815500048906</v>
      </c>
      <c r="R26" s="2">
        <v>65.511132916668402</v>
      </c>
      <c r="S26" s="2">
        <v>65.511132916668402</v>
      </c>
      <c r="T26" s="2">
        <v>67.933683916693496</v>
      </c>
      <c r="U26" s="2" t="s">
        <v>33</v>
      </c>
      <c r="V26" s="2">
        <v>1</v>
      </c>
      <c r="W26" s="2">
        <v>2.4098972500069</v>
      </c>
      <c r="X26" s="2" t="s">
        <v>34</v>
      </c>
      <c r="Y26" s="2">
        <v>4</v>
      </c>
      <c r="Z26" s="2" t="s">
        <v>35</v>
      </c>
      <c r="AA26" s="2">
        <v>1</v>
      </c>
      <c r="AB26" s="2" t="s">
        <v>36</v>
      </c>
      <c r="AC26" s="2" t="s">
        <v>37</v>
      </c>
      <c r="AE26" s="2" t="s">
        <v>38</v>
      </c>
      <c r="AF26" s="2">
        <v>59.966074217912599</v>
      </c>
      <c r="AG26" s="2" t="s">
        <v>39</v>
      </c>
    </row>
    <row r="27" spans="1:33">
      <c r="A27" s="2">
        <v>25</v>
      </c>
      <c r="B27" s="2">
        <v>0</v>
      </c>
      <c r="C27" s="2">
        <v>25</v>
      </c>
      <c r="D27" s="2" t="s">
        <v>33</v>
      </c>
      <c r="E27" s="2">
        <v>1</v>
      </c>
      <c r="F27" s="2">
        <v>1.30530112504493</v>
      </c>
      <c r="G27" s="2" t="s">
        <v>34</v>
      </c>
      <c r="H27" s="2">
        <v>3</v>
      </c>
      <c r="I27" s="2">
        <v>25</v>
      </c>
      <c r="J27" s="2">
        <v>0</v>
      </c>
      <c r="K27" s="2">
        <v>25</v>
      </c>
      <c r="L27" s="2">
        <v>0</v>
      </c>
      <c r="M27" s="2">
        <v>67.944127000053399</v>
      </c>
      <c r="P27" s="2">
        <v>67.933969874982694</v>
      </c>
      <c r="Q27" s="2">
        <v>67.944127000053399</v>
      </c>
      <c r="R27" s="2">
        <v>68.944576250039901</v>
      </c>
      <c r="S27" s="2">
        <v>68.944576250039901</v>
      </c>
      <c r="T27" s="2">
        <v>70.267800958361406</v>
      </c>
      <c r="U27" s="2" t="s">
        <v>33</v>
      </c>
      <c r="V27" s="2">
        <v>1</v>
      </c>
      <c r="W27" s="2">
        <v>1.30530112504493</v>
      </c>
      <c r="X27" s="2" t="s">
        <v>34</v>
      </c>
      <c r="Y27" s="2">
        <v>3</v>
      </c>
      <c r="Z27" s="2" t="s">
        <v>35</v>
      </c>
      <c r="AA27" s="2">
        <v>1</v>
      </c>
      <c r="AB27" s="2" t="s">
        <v>36</v>
      </c>
      <c r="AC27" s="2" t="s">
        <v>37</v>
      </c>
      <c r="AE27" s="2" t="s">
        <v>38</v>
      </c>
      <c r="AF27" s="2">
        <v>59.966074217912599</v>
      </c>
      <c r="AG27" s="2" t="s">
        <v>39</v>
      </c>
    </row>
    <row r="28" spans="1:33">
      <c r="A28" s="2">
        <v>26</v>
      </c>
      <c r="B28" s="2">
        <v>0</v>
      </c>
      <c r="C28" s="2">
        <v>26</v>
      </c>
      <c r="D28" s="2" t="s">
        <v>40</v>
      </c>
      <c r="E28" s="2">
        <v>1</v>
      </c>
      <c r="F28" s="2">
        <v>1.16135416668839</v>
      </c>
      <c r="G28" s="2" t="s">
        <v>34</v>
      </c>
      <c r="H28" s="2">
        <v>0</v>
      </c>
      <c r="I28" s="2">
        <v>26</v>
      </c>
      <c r="J28" s="2">
        <v>0</v>
      </c>
      <c r="K28" s="2">
        <v>26</v>
      </c>
      <c r="L28" s="2">
        <v>0</v>
      </c>
      <c r="M28" s="2">
        <v>70.277544583310302</v>
      </c>
      <c r="P28" s="2">
        <v>70.2680780416121</v>
      </c>
      <c r="Q28" s="2">
        <v>70.277544583310302</v>
      </c>
      <c r="R28" s="2">
        <v>71.277874833322102</v>
      </c>
      <c r="S28" s="2">
        <v>71.277874833322102</v>
      </c>
      <c r="T28" s="2">
        <v>72.447825500043095</v>
      </c>
      <c r="U28" s="2" t="s">
        <v>40</v>
      </c>
      <c r="V28" s="2">
        <v>1</v>
      </c>
      <c r="W28" s="2">
        <v>1.16135416668839</v>
      </c>
      <c r="X28" s="2" t="s">
        <v>34</v>
      </c>
      <c r="Y28" s="2">
        <v>0</v>
      </c>
      <c r="Z28" s="2" t="s">
        <v>35</v>
      </c>
      <c r="AA28" s="2">
        <v>1</v>
      </c>
      <c r="AB28" s="2" t="s">
        <v>36</v>
      </c>
      <c r="AC28" s="2" t="s">
        <v>37</v>
      </c>
      <c r="AE28" s="2" t="s">
        <v>38</v>
      </c>
      <c r="AF28" s="2">
        <v>59.966074217912599</v>
      </c>
      <c r="AG28" s="2" t="s">
        <v>39</v>
      </c>
    </row>
    <row r="29" spans="1:33">
      <c r="A29" s="2">
        <v>27</v>
      </c>
      <c r="B29" s="2">
        <v>0</v>
      </c>
      <c r="C29" s="2">
        <v>27</v>
      </c>
      <c r="D29" s="2" t="s">
        <v>40</v>
      </c>
      <c r="E29" s="2">
        <v>0</v>
      </c>
      <c r="F29" s="2">
        <v>1.0225887916749301</v>
      </c>
      <c r="G29" s="2" t="s">
        <v>34</v>
      </c>
      <c r="H29" s="2">
        <v>-1</v>
      </c>
      <c r="I29" s="2">
        <v>27</v>
      </c>
      <c r="J29" s="2">
        <v>0</v>
      </c>
      <c r="K29" s="2">
        <v>27</v>
      </c>
      <c r="L29" s="2">
        <v>0</v>
      </c>
      <c r="M29" s="2">
        <v>72.461426208377802</v>
      </c>
      <c r="P29" s="2">
        <v>72.448082041693795</v>
      </c>
      <c r="Q29" s="2">
        <v>72.461426208377802</v>
      </c>
      <c r="R29" s="2">
        <v>73.461233791662295</v>
      </c>
      <c r="S29" s="2">
        <v>73.461233791662295</v>
      </c>
      <c r="T29" s="2">
        <v>74.501306000049198</v>
      </c>
      <c r="U29" s="2" t="s">
        <v>40</v>
      </c>
      <c r="V29" s="2">
        <v>0</v>
      </c>
      <c r="W29" s="2">
        <v>1.0225887916749301</v>
      </c>
      <c r="X29" s="2" t="s">
        <v>34</v>
      </c>
      <c r="Y29" s="2">
        <v>-1</v>
      </c>
      <c r="Z29" s="2" t="s">
        <v>35</v>
      </c>
      <c r="AA29" s="2">
        <v>1</v>
      </c>
      <c r="AB29" s="2" t="s">
        <v>36</v>
      </c>
      <c r="AC29" s="2" t="s">
        <v>37</v>
      </c>
      <c r="AE29" s="2" t="s">
        <v>38</v>
      </c>
      <c r="AF29" s="2">
        <v>59.966074217912599</v>
      </c>
      <c r="AG29" s="2" t="s">
        <v>39</v>
      </c>
    </row>
    <row r="30" spans="1:33">
      <c r="A30" s="2">
        <v>28</v>
      </c>
      <c r="B30" s="2">
        <v>0</v>
      </c>
      <c r="C30" s="2">
        <v>28</v>
      </c>
      <c r="D30" s="2" t="s">
        <v>40</v>
      </c>
      <c r="E30" s="2">
        <v>1</v>
      </c>
      <c r="F30" s="2">
        <v>0.95544791675638396</v>
      </c>
      <c r="G30" s="2" t="s">
        <v>34</v>
      </c>
      <c r="H30" s="2">
        <v>0</v>
      </c>
      <c r="I30" s="2">
        <v>28</v>
      </c>
      <c r="J30" s="2">
        <v>0</v>
      </c>
      <c r="K30" s="2">
        <v>28</v>
      </c>
      <c r="L30" s="2">
        <v>0</v>
      </c>
      <c r="M30" s="2">
        <v>74.510767541709299</v>
      </c>
      <c r="P30" s="2">
        <v>74.501535124960299</v>
      </c>
      <c r="Q30" s="2">
        <v>74.510767541709299</v>
      </c>
      <c r="R30" s="2">
        <v>75.511268333299</v>
      </c>
      <c r="S30" s="2">
        <v>75.511268333299</v>
      </c>
      <c r="T30" s="2">
        <v>76.483415291644604</v>
      </c>
      <c r="U30" s="2" t="s">
        <v>40</v>
      </c>
      <c r="V30" s="2">
        <v>1</v>
      </c>
      <c r="W30" s="2">
        <v>0.95544791675638396</v>
      </c>
      <c r="X30" s="2" t="s">
        <v>34</v>
      </c>
      <c r="Y30" s="2">
        <v>0</v>
      </c>
      <c r="Z30" s="2" t="s">
        <v>35</v>
      </c>
      <c r="AA30" s="2">
        <v>1</v>
      </c>
      <c r="AB30" s="2" t="s">
        <v>36</v>
      </c>
      <c r="AC30" s="2" t="s">
        <v>37</v>
      </c>
      <c r="AE30" s="2" t="s">
        <v>38</v>
      </c>
      <c r="AF30" s="2">
        <v>59.966074217912599</v>
      </c>
      <c r="AG30" s="2" t="s">
        <v>39</v>
      </c>
    </row>
    <row r="31" spans="1:33">
      <c r="A31" s="2">
        <v>29</v>
      </c>
      <c r="B31" s="2">
        <v>0</v>
      </c>
      <c r="C31" s="2">
        <v>29</v>
      </c>
      <c r="D31" s="2" t="s">
        <v>40</v>
      </c>
      <c r="E31" s="2">
        <v>1</v>
      </c>
      <c r="F31" s="2">
        <v>0.74933420831803199</v>
      </c>
      <c r="G31" s="2" t="s">
        <v>34</v>
      </c>
      <c r="H31" s="2">
        <v>0</v>
      </c>
      <c r="I31" s="2">
        <v>29</v>
      </c>
      <c r="J31" s="2">
        <v>0</v>
      </c>
      <c r="K31" s="2">
        <v>29</v>
      </c>
      <c r="L31" s="2">
        <v>0</v>
      </c>
      <c r="M31" s="2">
        <v>76.494519499945397</v>
      </c>
      <c r="P31" s="2">
        <v>76.483634708332801</v>
      </c>
      <c r="Q31" s="2">
        <v>76.494519499945397</v>
      </c>
      <c r="R31" s="2">
        <v>77.494451916660097</v>
      </c>
      <c r="S31" s="2">
        <v>77.494451916660097</v>
      </c>
      <c r="T31" s="2">
        <v>78.248301041661705</v>
      </c>
      <c r="U31" s="2" t="s">
        <v>40</v>
      </c>
      <c r="V31" s="2">
        <v>1</v>
      </c>
      <c r="W31" s="2">
        <v>0.74933420831803199</v>
      </c>
      <c r="X31" s="2" t="s">
        <v>34</v>
      </c>
      <c r="Y31" s="2">
        <v>0</v>
      </c>
      <c r="Z31" s="2" t="s">
        <v>35</v>
      </c>
      <c r="AA31" s="2">
        <v>1</v>
      </c>
      <c r="AB31" s="2" t="s">
        <v>36</v>
      </c>
      <c r="AC31" s="2" t="s">
        <v>37</v>
      </c>
      <c r="AE31" s="2" t="s">
        <v>38</v>
      </c>
      <c r="AF31" s="2">
        <v>59.966074217912599</v>
      </c>
      <c r="AG31" s="2" t="s">
        <v>39</v>
      </c>
    </row>
    <row r="32" spans="1:33">
      <c r="A32" s="2">
        <v>30</v>
      </c>
      <c r="B32" s="2">
        <v>0</v>
      </c>
      <c r="C32" s="2">
        <v>30</v>
      </c>
      <c r="D32" s="2" t="s">
        <v>33</v>
      </c>
      <c r="E32" s="2">
        <v>1</v>
      </c>
      <c r="F32" s="2">
        <v>0.91953270835801904</v>
      </c>
      <c r="G32" s="2" t="s">
        <v>34</v>
      </c>
      <c r="H32" s="2">
        <v>-4</v>
      </c>
      <c r="I32" s="2">
        <v>30</v>
      </c>
      <c r="J32" s="2">
        <v>0</v>
      </c>
      <c r="K32" s="2">
        <v>30</v>
      </c>
      <c r="L32" s="2">
        <v>0</v>
      </c>
      <c r="M32" s="2">
        <v>78.261259916704105</v>
      </c>
      <c r="P32" s="2">
        <v>78.248564000008599</v>
      </c>
      <c r="Q32" s="2">
        <v>78.261259916704105</v>
      </c>
      <c r="R32" s="2">
        <v>79.261139208334498</v>
      </c>
      <c r="S32" s="2">
        <v>79.261139208334498</v>
      </c>
      <c r="T32" s="2">
        <v>80.200095374951999</v>
      </c>
      <c r="U32" s="2" t="s">
        <v>33</v>
      </c>
      <c r="V32" s="2">
        <v>1</v>
      </c>
      <c r="W32" s="2">
        <v>0.91953270835801904</v>
      </c>
      <c r="X32" s="2" t="s">
        <v>34</v>
      </c>
      <c r="Y32" s="2">
        <v>-4</v>
      </c>
      <c r="Z32" s="2" t="s">
        <v>35</v>
      </c>
      <c r="AA32" s="2">
        <v>1</v>
      </c>
      <c r="AB32" s="2" t="s">
        <v>36</v>
      </c>
      <c r="AC32" s="2" t="s">
        <v>37</v>
      </c>
      <c r="AE32" s="2" t="s">
        <v>38</v>
      </c>
      <c r="AF32" s="2">
        <v>59.966074217912599</v>
      </c>
      <c r="AG32" s="2" t="s">
        <v>39</v>
      </c>
    </row>
    <row r="33" spans="1:33">
      <c r="A33" s="2">
        <v>31</v>
      </c>
      <c r="B33" s="2">
        <v>0</v>
      </c>
      <c r="C33" s="2">
        <v>31</v>
      </c>
      <c r="D33" s="2" t="s">
        <v>33</v>
      </c>
      <c r="E33" s="2">
        <v>0</v>
      </c>
      <c r="F33" s="2">
        <v>1.71847858326509</v>
      </c>
      <c r="G33" s="2" t="s">
        <v>34</v>
      </c>
      <c r="H33" s="2">
        <v>0</v>
      </c>
      <c r="I33" s="2">
        <v>31</v>
      </c>
      <c r="J33" s="2">
        <v>0</v>
      </c>
      <c r="K33" s="2">
        <v>31</v>
      </c>
      <c r="L33" s="2">
        <v>0</v>
      </c>
      <c r="M33" s="2">
        <v>80.211179041652898</v>
      </c>
      <c r="P33" s="2">
        <v>80.200309583335098</v>
      </c>
      <c r="Q33" s="2">
        <v>80.211179041652898</v>
      </c>
      <c r="R33" s="2">
        <v>81.2111677916254</v>
      </c>
      <c r="S33" s="2">
        <v>81.2111677916254</v>
      </c>
      <c r="T33" s="2">
        <v>82.931943833362297</v>
      </c>
      <c r="U33" s="2" t="s">
        <v>33</v>
      </c>
      <c r="V33" s="2">
        <v>0</v>
      </c>
      <c r="W33" s="2">
        <v>1.71847858326509</v>
      </c>
      <c r="X33" s="2" t="s">
        <v>34</v>
      </c>
      <c r="Y33" s="2">
        <v>0</v>
      </c>
      <c r="Z33" s="2" t="s">
        <v>35</v>
      </c>
      <c r="AA33" s="2">
        <v>1</v>
      </c>
      <c r="AB33" s="2" t="s">
        <v>36</v>
      </c>
      <c r="AC33" s="2" t="s">
        <v>37</v>
      </c>
      <c r="AE33" s="2" t="s">
        <v>38</v>
      </c>
      <c r="AF33" s="2">
        <v>59.966074217912599</v>
      </c>
      <c r="AG33" s="2" t="s">
        <v>39</v>
      </c>
    </row>
    <row r="34" spans="1:33">
      <c r="A34" s="2">
        <v>32</v>
      </c>
      <c r="B34" s="2">
        <v>0</v>
      </c>
      <c r="C34" s="2">
        <v>32</v>
      </c>
      <c r="D34" s="2" t="s">
        <v>33</v>
      </c>
      <c r="E34" s="2">
        <v>1</v>
      </c>
      <c r="F34" s="2">
        <v>1.2531228750012799</v>
      </c>
      <c r="G34" s="2" t="s">
        <v>34</v>
      </c>
      <c r="H34" s="2">
        <v>-3</v>
      </c>
      <c r="I34" s="2">
        <v>32</v>
      </c>
      <c r="J34" s="2">
        <v>0</v>
      </c>
      <c r="K34" s="2">
        <v>32</v>
      </c>
      <c r="L34" s="2">
        <v>0</v>
      </c>
      <c r="M34" s="2">
        <v>82.947306958376402</v>
      </c>
      <c r="P34" s="2">
        <v>82.932210708386194</v>
      </c>
      <c r="Q34" s="2">
        <v>82.947306958376402</v>
      </c>
      <c r="R34" s="2">
        <v>83.9445086249616</v>
      </c>
      <c r="S34" s="2">
        <v>83.961139624938298</v>
      </c>
      <c r="T34" s="2">
        <v>85.199248749995604</v>
      </c>
      <c r="U34" s="2" t="s">
        <v>33</v>
      </c>
      <c r="V34" s="2">
        <v>1</v>
      </c>
      <c r="W34" s="2">
        <v>1.2531228750012799</v>
      </c>
      <c r="X34" s="2" t="s">
        <v>34</v>
      </c>
      <c r="Y34" s="2">
        <v>-3</v>
      </c>
      <c r="Z34" s="2" t="s">
        <v>35</v>
      </c>
      <c r="AA34" s="2">
        <v>1</v>
      </c>
      <c r="AB34" s="2" t="s">
        <v>36</v>
      </c>
      <c r="AC34" s="2" t="s">
        <v>37</v>
      </c>
      <c r="AE34" s="2" t="s">
        <v>38</v>
      </c>
      <c r="AF34" s="2">
        <v>59.966074217912599</v>
      </c>
      <c r="AG34" s="2" t="s">
        <v>39</v>
      </c>
    </row>
    <row r="35" spans="1:33">
      <c r="A35" s="2">
        <v>33</v>
      </c>
      <c r="B35" s="2">
        <v>0</v>
      </c>
      <c r="C35" s="2">
        <v>33</v>
      </c>
      <c r="D35" s="2" t="s">
        <v>33</v>
      </c>
      <c r="E35" s="2">
        <v>1</v>
      </c>
      <c r="F35" s="2">
        <v>0.92440699995495301</v>
      </c>
      <c r="G35" s="2" t="s">
        <v>34</v>
      </c>
      <c r="H35" s="2">
        <v>-1</v>
      </c>
      <c r="I35" s="2">
        <v>33</v>
      </c>
      <c r="J35" s="2">
        <v>0</v>
      </c>
      <c r="K35" s="2">
        <v>33</v>
      </c>
      <c r="L35" s="2">
        <v>0</v>
      </c>
      <c r="M35" s="2">
        <v>85.213733958313199</v>
      </c>
      <c r="P35" s="2">
        <v>85.199609833303796</v>
      </c>
      <c r="Q35" s="2">
        <v>85.213733958313199</v>
      </c>
      <c r="R35" s="2">
        <v>86.211200791643904</v>
      </c>
      <c r="S35" s="2">
        <v>86.227847833302803</v>
      </c>
      <c r="T35" s="2">
        <v>87.150014916667701</v>
      </c>
      <c r="U35" s="2" t="s">
        <v>33</v>
      </c>
      <c r="V35" s="2">
        <v>1</v>
      </c>
      <c r="W35" s="2">
        <v>0.92440699995495301</v>
      </c>
      <c r="X35" s="2" t="s">
        <v>34</v>
      </c>
      <c r="Y35" s="2">
        <v>-1</v>
      </c>
      <c r="Z35" s="2" t="s">
        <v>35</v>
      </c>
      <c r="AA35" s="2">
        <v>1</v>
      </c>
      <c r="AB35" s="2" t="s">
        <v>36</v>
      </c>
      <c r="AC35" s="2" t="s">
        <v>37</v>
      </c>
      <c r="AE35" s="2" t="s">
        <v>38</v>
      </c>
      <c r="AF35" s="2">
        <v>59.966074217912599</v>
      </c>
      <c r="AG35" s="2" t="s">
        <v>39</v>
      </c>
    </row>
    <row r="36" spans="1:33">
      <c r="A36" s="2">
        <v>34</v>
      </c>
      <c r="B36" s="2">
        <v>0</v>
      </c>
      <c r="C36" s="2">
        <v>34</v>
      </c>
      <c r="D36" s="2" t="s">
        <v>40</v>
      </c>
      <c r="E36" s="2">
        <v>1</v>
      </c>
      <c r="F36" s="2">
        <v>1.19839691661763</v>
      </c>
      <c r="G36" s="2" t="s">
        <v>34</v>
      </c>
      <c r="H36" s="2">
        <v>0</v>
      </c>
      <c r="I36" s="2">
        <v>34</v>
      </c>
      <c r="J36" s="2">
        <v>0</v>
      </c>
      <c r="K36" s="2">
        <v>34</v>
      </c>
      <c r="L36" s="2">
        <v>0</v>
      </c>
      <c r="M36" s="2">
        <v>87.161192000028606</v>
      </c>
      <c r="P36" s="2">
        <v>87.150233624968607</v>
      </c>
      <c r="Q36" s="2">
        <v>87.161192000028606</v>
      </c>
      <c r="R36" s="2">
        <v>88.161112500005402</v>
      </c>
      <c r="S36" s="2">
        <v>88.161112500005402</v>
      </c>
      <c r="T36" s="2">
        <v>89.364864208386194</v>
      </c>
      <c r="U36" s="2" t="s">
        <v>40</v>
      </c>
      <c r="V36" s="2">
        <v>1</v>
      </c>
      <c r="W36" s="2">
        <v>1.19839691661763</v>
      </c>
      <c r="X36" s="2" t="s">
        <v>34</v>
      </c>
      <c r="Y36" s="2">
        <v>0</v>
      </c>
      <c r="Z36" s="2" t="s">
        <v>35</v>
      </c>
      <c r="AA36" s="2">
        <v>1</v>
      </c>
      <c r="AB36" s="2" t="s">
        <v>36</v>
      </c>
      <c r="AC36" s="2" t="s">
        <v>37</v>
      </c>
      <c r="AE36" s="2" t="s">
        <v>38</v>
      </c>
      <c r="AF36" s="2">
        <v>59.966074217912599</v>
      </c>
      <c r="AG36" s="2" t="s">
        <v>39</v>
      </c>
    </row>
    <row r="37" spans="1:33">
      <c r="A37" s="2">
        <v>35</v>
      </c>
      <c r="B37" s="2">
        <v>0</v>
      </c>
      <c r="C37" s="2">
        <v>35</v>
      </c>
      <c r="D37" s="2" t="s">
        <v>40</v>
      </c>
      <c r="E37" s="2">
        <v>0</v>
      </c>
      <c r="F37" s="2">
        <v>1.1215482082916399</v>
      </c>
      <c r="G37" s="2" t="s">
        <v>34</v>
      </c>
      <c r="H37" s="2">
        <v>-5</v>
      </c>
      <c r="I37" s="2">
        <v>35</v>
      </c>
      <c r="J37" s="2">
        <v>0</v>
      </c>
      <c r="K37" s="2">
        <v>35</v>
      </c>
      <c r="L37" s="2">
        <v>0</v>
      </c>
      <c r="M37" s="2">
        <v>89.377860500011593</v>
      </c>
      <c r="P37" s="2">
        <v>89.365115124965001</v>
      </c>
      <c r="Q37" s="2">
        <v>89.377860500011593</v>
      </c>
      <c r="R37" s="2">
        <v>90.377966541680493</v>
      </c>
      <c r="S37" s="2">
        <v>90.377966541680493</v>
      </c>
      <c r="T37" s="2">
        <v>91.517293625045497</v>
      </c>
      <c r="U37" s="2" t="s">
        <v>40</v>
      </c>
      <c r="V37" s="2">
        <v>0</v>
      </c>
      <c r="W37" s="2">
        <v>1.1215482082916399</v>
      </c>
      <c r="X37" s="2" t="s">
        <v>34</v>
      </c>
      <c r="Y37" s="2">
        <v>-5</v>
      </c>
      <c r="Z37" s="2" t="s">
        <v>35</v>
      </c>
      <c r="AA37" s="2">
        <v>1</v>
      </c>
      <c r="AB37" s="2" t="s">
        <v>36</v>
      </c>
      <c r="AC37" s="2" t="s">
        <v>37</v>
      </c>
      <c r="AE37" s="2" t="s">
        <v>38</v>
      </c>
      <c r="AF37" s="2">
        <v>59.966074217912599</v>
      </c>
      <c r="AG37" s="2" t="s">
        <v>39</v>
      </c>
    </row>
    <row r="38" spans="1:33">
      <c r="A38" s="2">
        <v>36</v>
      </c>
      <c r="B38" s="2">
        <v>0</v>
      </c>
      <c r="C38" s="2">
        <v>36</v>
      </c>
      <c r="D38" s="2" t="s">
        <v>40</v>
      </c>
      <c r="E38" s="2">
        <v>0</v>
      </c>
      <c r="F38" s="2">
        <v>1.27169329172465</v>
      </c>
      <c r="G38" s="2" t="s">
        <v>34</v>
      </c>
      <c r="H38" s="2">
        <v>-4</v>
      </c>
      <c r="I38" s="2">
        <v>36</v>
      </c>
      <c r="J38" s="2">
        <v>0</v>
      </c>
      <c r="K38" s="2">
        <v>36</v>
      </c>
      <c r="L38" s="2">
        <v>0</v>
      </c>
      <c r="M38" s="2">
        <v>91.527517499984199</v>
      </c>
      <c r="P38" s="2">
        <v>91.517667541629606</v>
      </c>
      <c r="Q38" s="2">
        <v>91.527517499984199</v>
      </c>
      <c r="R38" s="2">
        <v>92.527689374983296</v>
      </c>
      <c r="S38" s="2">
        <v>92.527689374983296</v>
      </c>
      <c r="T38" s="2">
        <v>93.8170799167128</v>
      </c>
      <c r="U38" s="2" t="s">
        <v>40</v>
      </c>
      <c r="V38" s="2">
        <v>0</v>
      </c>
      <c r="W38" s="2">
        <v>1.27169329172465</v>
      </c>
      <c r="X38" s="2" t="s">
        <v>34</v>
      </c>
      <c r="Y38" s="2">
        <v>-4</v>
      </c>
      <c r="Z38" s="2" t="s">
        <v>35</v>
      </c>
      <c r="AA38" s="2">
        <v>1</v>
      </c>
      <c r="AB38" s="2" t="s">
        <v>36</v>
      </c>
      <c r="AC38" s="2" t="s">
        <v>37</v>
      </c>
      <c r="AE38" s="2" t="s">
        <v>38</v>
      </c>
      <c r="AF38" s="2">
        <v>59.966074217912599</v>
      </c>
      <c r="AG38" s="2" t="s">
        <v>39</v>
      </c>
    </row>
    <row r="39" spans="1:33">
      <c r="A39" s="2">
        <v>37</v>
      </c>
      <c r="B39" s="2">
        <v>0</v>
      </c>
      <c r="C39" s="2">
        <v>37</v>
      </c>
      <c r="D39" s="2" t="s">
        <v>40</v>
      </c>
      <c r="E39" s="2">
        <v>1</v>
      </c>
      <c r="F39" s="2">
        <v>3.3033799167023901</v>
      </c>
      <c r="G39" s="2" t="s">
        <v>34</v>
      </c>
      <c r="H39" s="2">
        <v>0</v>
      </c>
      <c r="I39" s="2">
        <v>37</v>
      </c>
      <c r="J39" s="2">
        <v>0</v>
      </c>
      <c r="K39" s="2">
        <v>37</v>
      </c>
      <c r="L39" s="2">
        <v>0</v>
      </c>
      <c r="M39" s="2">
        <v>93.827480125008094</v>
      </c>
      <c r="P39" s="2">
        <v>93.817332500009798</v>
      </c>
      <c r="Q39" s="2">
        <v>93.827480125008094</v>
      </c>
      <c r="R39" s="2">
        <v>94.827798833372</v>
      </c>
      <c r="S39" s="2">
        <v>94.827798833372</v>
      </c>
      <c r="T39" s="2">
        <v>98.1506643333705</v>
      </c>
      <c r="U39" s="2" t="s">
        <v>40</v>
      </c>
      <c r="V39" s="2">
        <v>1</v>
      </c>
      <c r="W39" s="2">
        <v>3.3033799167023901</v>
      </c>
      <c r="X39" s="2" t="s">
        <v>34</v>
      </c>
      <c r="Y39" s="2">
        <v>0</v>
      </c>
      <c r="Z39" s="2" t="s">
        <v>35</v>
      </c>
      <c r="AA39" s="2">
        <v>1</v>
      </c>
      <c r="AB39" s="2" t="s">
        <v>36</v>
      </c>
      <c r="AC39" s="2" t="s">
        <v>37</v>
      </c>
      <c r="AE39" s="2" t="s">
        <v>38</v>
      </c>
      <c r="AF39" s="2">
        <v>59.966074217912599</v>
      </c>
      <c r="AG39" s="2" t="s">
        <v>39</v>
      </c>
    </row>
    <row r="40" spans="1:33">
      <c r="A40" s="2">
        <v>38</v>
      </c>
      <c r="B40" s="2">
        <v>0</v>
      </c>
      <c r="C40" s="2">
        <v>38</v>
      </c>
      <c r="D40" s="2" t="s">
        <v>40</v>
      </c>
      <c r="E40" s="2">
        <v>0</v>
      </c>
      <c r="F40" s="2">
        <v>3.7534387917257801</v>
      </c>
      <c r="G40" s="2" t="s">
        <v>34</v>
      </c>
      <c r="H40" s="2">
        <v>0</v>
      </c>
      <c r="I40" s="2">
        <v>38</v>
      </c>
      <c r="J40" s="2">
        <v>0</v>
      </c>
      <c r="K40" s="2">
        <v>38</v>
      </c>
      <c r="L40" s="2">
        <v>0</v>
      </c>
      <c r="M40" s="2">
        <v>98.160775791620793</v>
      </c>
      <c r="P40" s="2">
        <v>98.150961458333697</v>
      </c>
      <c r="Q40" s="2">
        <v>98.160775791620793</v>
      </c>
      <c r="R40" s="2">
        <v>99.161156958318301</v>
      </c>
      <c r="S40" s="2">
        <v>99.161156958318301</v>
      </c>
      <c r="T40" s="2">
        <v>102.934196125017</v>
      </c>
      <c r="U40" s="2" t="s">
        <v>40</v>
      </c>
      <c r="V40" s="2">
        <v>0</v>
      </c>
      <c r="W40" s="2">
        <v>3.7534387917257801</v>
      </c>
      <c r="X40" s="2" t="s">
        <v>34</v>
      </c>
      <c r="Y40" s="2">
        <v>0</v>
      </c>
      <c r="Z40" s="2" t="s">
        <v>35</v>
      </c>
      <c r="AA40" s="2">
        <v>1</v>
      </c>
      <c r="AB40" s="2" t="s">
        <v>36</v>
      </c>
      <c r="AC40" s="2" t="s">
        <v>37</v>
      </c>
      <c r="AE40" s="2" t="s">
        <v>38</v>
      </c>
      <c r="AF40" s="2">
        <v>59.966074217912599</v>
      </c>
      <c r="AG40" s="2" t="s">
        <v>39</v>
      </c>
    </row>
    <row r="41" spans="1:33">
      <c r="A41" s="2">
        <v>39</v>
      </c>
      <c r="B41" s="2">
        <v>0</v>
      </c>
      <c r="C41" s="2">
        <v>39</v>
      </c>
      <c r="D41" s="2" t="s">
        <v>33</v>
      </c>
      <c r="E41" s="2">
        <v>1</v>
      </c>
      <c r="F41" s="2">
        <v>1.2799457500222999</v>
      </c>
      <c r="G41" s="2" t="s">
        <v>34</v>
      </c>
      <c r="H41" s="2">
        <v>-4</v>
      </c>
      <c r="I41" s="2">
        <v>39</v>
      </c>
      <c r="J41" s="2">
        <v>0</v>
      </c>
      <c r="K41" s="2">
        <v>39</v>
      </c>
      <c r="L41" s="2">
        <v>0</v>
      </c>
      <c r="M41" s="2">
        <v>102.944062333321</v>
      </c>
      <c r="P41" s="2">
        <v>102.934452250017</v>
      </c>
      <c r="Q41" s="2">
        <v>102.944062333321</v>
      </c>
      <c r="R41" s="2">
        <v>103.94456979166701</v>
      </c>
      <c r="S41" s="2">
        <v>103.94456979166701</v>
      </c>
      <c r="T41" s="2">
        <v>105.232297083362</v>
      </c>
      <c r="U41" s="2" t="s">
        <v>33</v>
      </c>
      <c r="V41" s="2">
        <v>1</v>
      </c>
      <c r="W41" s="2">
        <v>1.2799457500222999</v>
      </c>
      <c r="X41" s="2" t="s">
        <v>34</v>
      </c>
      <c r="Y41" s="2">
        <v>-4</v>
      </c>
      <c r="Z41" s="2" t="s">
        <v>35</v>
      </c>
      <c r="AA41" s="2">
        <v>1</v>
      </c>
      <c r="AB41" s="2" t="s">
        <v>36</v>
      </c>
      <c r="AC41" s="2" t="s">
        <v>37</v>
      </c>
      <c r="AE41" s="2" t="s">
        <v>38</v>
      </c>
      <c r="AF41" s="2">
        <v>59.966074217912599</v>
      </c>
      <c r="AG41" s="2" t="s">
        <v>39</v>
      </c>
    </row>
    <row r="42" spans="1:33">
      <c r="A42" s="2">
        <v>40</v>
      </c>
      <c r="B42" s="2">
        <v>0</v>
      </c>
      <c r="C42" s="2">
        <v>40</v>
      </c>
      <c r="D42" s="2" t="s">
        <v>33</v>
      </c>
      <c r="E42" s="2">
        <v>1</v>
      </c>
      <c r="F42" s="2">
        <v>1.5971504166955099</v>
      </c>
      <c r="G42" s="2" t="s">
        <v>34</v>
      </c>
      <c r="H42" s="2">
        <v>-4</v>
      </c>
      <c r="I42" s="2">
        <v>40</v>
      </c>
      <c r="J42" s="2">
        <v>0</v>
      </c>
      <c r="K42" s="2">
        <v>40</v>
      </c>
      <c r="L42" s="2">
        <v>0</v>
      </c>
      <c r="M42" s="2">
        <v>105.24441379168999</v>
      </c>
      <c r="P42" s="2">
        <v>105.23245054169</v>
      </c>
      <c r="Q42" s="2">
        <v>105.24441379168999</v>
      </c>
      <c r="R42" s="2">
        <v>106.24443312501499</v>
      </c>
      <c r="S42" s="2">
        <v>106.24443312501499</v>
      </c>
      <c r="T42" s="2">
        <v>107.84882954170401</v>
      </c>
      <c r="U42" s="2" t="s">
        <v>33</v>
      </c>
      <c r="V42" s="2">
        <v>1</v>
      </c>
      <c r="W42" s="2">
        <v>1.5971504166955099</v>
      </c>
      <c r="X42" s="2" t="s">
        <v>34</v>
      </c>
      <c r="Y42" s="2">
        <v>-4</v>
      </c>
      <c r="Z42" s="2" t="s">
        <v>35</v>
      </c>
      <c r="AA42" s="2">
        <v>1</v>
      </c>
      <c r="AB42" s="2" t="s">
        <v>36</v>
      </c>
      <c r="AC42" s="2" t="s">
        <v>37</v>
      </c>
      <c r="AE42" s="2" t="s">
        <v>38</v>
      </c>
      <c r="AF42" s="2">
        <v>59.966074217912599</v>
      </c>
      <c r="AG42" s="2" t="s">
        <v>39</v>
      </c>
    </row>
    <row r="43" spans="1:33">
      <c r="A43" s="2">
        <v>41</v>
      </c>
      <c r="B43" s="2">
        <v>0</v>
      </c>
      <c r="C43" s="2">
        <v>41</v>
      </c>
      <c r="D43" s="2" t="s">
        <v>40</v>
      </c>
      <c r="E43" s="2">
        <v>1</v>
      </c>
      <c r="F43" s="2">
        <v>1.2533132499083799</v>
      </c>
      <c r="G43" s="2" t="s">
        <v>34</v>
      </c>
      <c r="H43" s="2">
        <v>0</v>
      </c>
      <c r="I43" s="2">
        <v>41</v>
      </c>
      <c r="J43" s="2">
        <v>0</v>
      </c>
      <c r="K43" s="2">
        <v>41</v>
      </c>
      <c r="L43" s="2">
        <v>0</v>
      </c>
      <c r="M43" s="2">
        <v>107.861251791706</v>
      </c>
      <c r="P43" s="2">
        <v>107.849079708335</v>
      </c>
      <c r="Q43" s="2">
        <v>107.861251791706</v>
      </c>
      <c r="R43" s="2">
        <v>108.861146708368</v>
      </c>
      <c r="S43" s="2">
        <v>108.861146708368</v>
      </c>
      <c r="T43" s="2">
        <v>110.13363562501</v>
      </c>
      <c r="U43" s="2" t="s">
        <v>40</v>
      </c>
      <c r="V43" s="2">
        <v>1</v>
      </c>
      <c r="W43" s="2">
        <v>1.2533132499083799</v>
      </c>
      <c r="X43" s="2" t="s">
        <v>34</v>
      </c>
      <c r="Y43" s="2">
        <v>0</v>
      </c>
      <c r="Z43" s="2" t="s">
        <v>35</v>
      </c>
      <c r="AA43" s="2">
        <v>1</v>
      </c>
      <c r="AB43" s="2" t="s">
        <v>36</v>
      </c>
      <c r="AC43" s="2" t="s">
        <v>37</v>
      </c>
      <c r="AE43" s="2" t="s">
        <v>38</v>
      </c>
      <c r="AF43" s="2">
        <v>59.966074217912599</v>
      </c>
      <c r="AG43" s="2" t="s">
        <v>39</v>
      </c>
    </row>
    <row r="44" spans="1:33">
      <c r="A44" s="2">
        <v>42</v>
      </c>
      <c r="B44" s="2">
        <v>0</v>
      </c>
      <c r="C44" s="2">
        <v>42</v>
      </c>
      <c r="D44" s="2" t="s">
        <v>33</v>
      </c>
      <c r="E44" s="2">
        <v>1</v>
      </c>
      <c r="F44" s="2">
        <v>0.85789658327121199</v>
      </c>
      <c r="G44" s="2" t="s">
        <v>34</v>
      </c>
      <c r="H44" s="2">
        <v>-5</v>
      </c>
      <c r="I44" s="2">
        <v>42</v>
      </c>
      <c r="J44" s="2">
        <v>0</v>
      </c>
      <c r="K44" s="2">
        <v>42</v>
      </c>
      <c r="L44" s="2">
        <v>0</v>
      </c>
      <c r="M44" s="2">
        <v>110.14410295838</v>
      </c>
      <c r="P44" s="2">
        <v>110.133888249984</v>
      </c>
      <c r="Q44" s="2">
        <v>110.14410295838</v>
      </c>
      <c r="R44" s="2">
        <v>111.144489874946</v>
      </c>
      <c r="S44" s="2">
        <v>111.144489874946</v>
      </c>
      <c r="T44" s="2">
        <v>112.01572908333</v>
      </c>
      <c r="U44" s="2" t="s">
        <v>33</v>
      </c>
      <c r="V44" s="2">
        <v>1</v>
      </c>
      <c r="W44" s="2">
        <v>0.85789658327121199</v>
      </c>
      <c r="X44" s="2" t="s">
        <v>34</v>
      </c>
      <c r="Y44" s="2">
        <v>-5</v>
      </c>
      <c r="Z44" s="2" t="s">
        <v>35</v>
      </c>
      <c r="AA44" s="2">
        <v>1</v>
      </c>
      <c r="AB44" s="2" t="s">
        <v>36</v>
      </c>
      <c r="AC44" s="2" t="s">
        <v>37</v>
      </c>
      <c r="AE44" s="2" t="s">
        <v>38</v>
      </c>
      <c r="AF44" s="2">
        <v>59.966074217912599</v>
      </c>
      <c r="AG44" s="2" t="s">
        <v>39</v>
      </c>
    </row>
    <row r="45" spans="1:33">
      <c r="A45" s="2">
        <v>43</v>
      </c>
      <c r="B45" s="2">
        <v>0</v>
      </c>
      <c r="C45" s="2">
        <v>43</v>
      </c>
      <c r="D45" s="2" t="s">
        <v>40</v>
      </c>
      <c r="E45" s="2">
        <v>1</v>
      </c>
      <c r="F45" s="2">
        <v>0.95748291665222496</v>
      </c>
      <c r="G45" s="2" t="s">
        <v>34</v>
      </c>
      <c r="H45" s="2">
        <v>0</v>
      </c>
      <c r="I45" s="2">
        <v>43</v>
      </c>
      <c r="J45" s="2">
        <v>0</v>
      </c>
      <c r="K45" s="2">
        <v>43</v>
      </c>
      <c r="L45" s="2">
        <v>0</v>
      </c>
      <c r="M45" s="2">
        <v>112.027824874967</v>
      </c>
      <c r="P45" s="2">
        <v>112.015937166637</v>
      </c>
      <c r="Q45" s="2">
        <v>112.027824874967</v>
      </c>
      <c r="R45" s="2">
        <v>113.02792191668399</v>
      </c>
      <c r="S45" s="2">
        <v>113.02792191668399</v>
      </c>
      <c r="T45" s="2">
        <v>114.00004620838401</v>
      </c>
      <c r="U45" s="2" t="s">
        <v>40</v>
      </c>
      <c r="V45" s="2">
        <v>1</v>
      </c>
      <c r="W45" s="2">
        <v>0.95748291665222496</v>
      </c>
      <c r="X45" s="2" t="s">
        <v>34</v>
      </c>
      <c r="Y45" s="2">
        <v>0</v>
      </c>
      <c r="Z45" s="2" t="s">
        <v>35</v>
      </c>
      <c r="AA45" s="2">
        <v>1</v>
      </c>
      <c r="AB45" s="2" t="s">
        <v>36</v>
      </c>
      <c r="AC45" s="2" t="s">
        <v>37</v>
      </c>
      <c r="AE45" s="2" t="s">
        <v>38</v>
      </c>
      <c r="AF45" s="2">
        <v>59.966074217912599</v>
      </c>
      <c r="AG45" s="2" t="s">
        <v>39</v>
      </c>
    </row>
    <row r="46" spans="1:33">
      <c r="A46" s="2">
        <v>44</v>
      </c>
      <c r="B46" s="2">
        <v>0</v>
      </c>
      <c r="C46" s="2">
        <v>44</v>
      </c>
      <c r="D46" s="2" t="s">
        <v>33</v>
      </c>
      <c r="E46" s="2">
        <v>1</v>
      </c>
      <c r="F46" s="2">
        <v>1.37357887509278</v>
      </c>
      <c r="G46" s="2" t="s">
        <v>34</v>
      </c>
      <c r="H46" s="2">
        <v>-2</v>
      </c>
      <c r="I46" s="2">
        <v>44</v>
      </c>
      <c r="J46" s="2">
        <v>0</v>
      </c>
      <c r="K46" s="2">
        <v>44</v>
      </c>
      <c r="L46" s="2">
        <v>0</v>
      </c>
      <c r="M46" s="2">
        <v>114.011188999982</v>
      </c>
      <c r="P46" s="2">
        <v>114.000291749951</v>
      </c>
      <c r="Q46" s="2">
        <v>114.011188999982</v>
      </c>
      <c r="R46" s="2">
        <v>115.011124375043</v>
      </c>
      <c r="S46" s="2">
        <v>115.011124375043</v>
      </c>
      <c r="T46" s="2">
        <v>116.400854541687</v>
      </c>
      <c r="U46" s="2" t="s">
        <v>33</v>
      </c>
      <c r="V46" s="2">
        <v>1</v>
      </c>
      <c r="W46" s="2">
        <v>1.37357887509278</v>
      </c>
      <c r="X46" s="2" t="s">
        <v>34</v>
      </c>
      <c r="Y46" s="2">
        <v>-2</v>
      </c>
      <c r="Z46" s="2" t="s">
        <v>35</v>
      </c>
      <c r="AA46" s="2">
        <v>1</v>
      </c>
      <c r="AB46" s="2" t="s">
        <v>36</v>
      </c>
      <c r="AC46" s="2" t="s">
        <v>37</v>
      </c>
      <c r="AE46" s="2" t="s">
        <v>38</v>
      </c>
      <c r="AF46" s="2">
        <v>59.966074217912599</v>
      </c>
      <c r="AG46" s="2" t="s">
        <v>39</v>
      </c>
    </row>
    <row r="47" spans="1:33">
      <c r="A47" s="2">
        <v>45</v>
      </c>
      <c r="B47" s="2">
        <v>0</v>
      </c>
      <c r="C47" s="2">
        <v>45</v>
      </c>
      <c r="D47" s="2" t="s">
        <v>40</v>
      </c>
      <c r="E47" s="2">
        <v>0</v>
      </c>
      <c r="F47" s="2">
        <v>1.2081514166202301</v>
      </c>
      <c r="G47" s="2" t="s">
        <v>34</v>
      </c>
      <c r="H47" s="2">
        <v>-1</v>
      </c>
      <c r="I47" s="2">
        <v>45</v>
      </c>
      <c r="J47" s="2">
        <v>0</v>
      </c>
      <c r="K47" s="2">
        <v>45</v>
      </c>
      <c r="L47" s="2">
        <v>0</v>
      </c>
      <c r="M47" s="2">
        <v>116.410764583386</v>
      </c>
      <c r="P47" s="2">
        <v>116.40111075004</v>
      </c>
      <c r="Q47" s="2">
        <v>116.410764583386</v>
      </c>
      <c r="R47" s="2">
        <v>117.411127500003</v>
      </c>
      <c r="S47" s="2">
        <v>117.411127500003</v>
      </c>
      <c r="T47" s="2">
        <v>118.63341408327599</v>
      </c>
      <c r="U47" s="2" t="s">
        <v>40</v>
      </c>
      <c r="V47" s="2">
        <v>0</v>
      </c>
      <c r="W47" s="2">
        <v>1.2081514166202301</v>
      </c>
      <c r="X47" s="2" t="s">
        <v>34</v>
      </c>
      <c r="Y47" s="2">
        <v>-1</v>
      </c>
      <c r="Z47" s="2" t="s">
        <v>35</v>
      </c>
      <c r="AA47" s="2">
        <v>1</v>
      </c>
      <c r="AB47" s="2" t="s">
        <v>36</v>
      </c>
      <c r="AC47" s="2" t="s">
        <v>37</v>
      </c>
      <c r="AE47" s="2" t="s">
        <v>38</v>
      </c>
      <c r="AF47" s="2">
        <v>59.966074217912599</v>
      </c>
      <c r="AG47" s="2" t="s">
        <v>39</v>
      </c>
    </row>
    <row r="48" spans="1:33">
      <c r="A48" s="2">
        <v>46</v>
      </c>
      <c r="B48" s="2">
        <v>0</v>
      </c>
      <c r="C48" s="2">
        <v>46</v>
      </c>
      <c r="D48" s="2" t="s">
        <v>40</v>
      </c>
      <c r="E48" s="2">
        <v>1</v>
      </c>
      <c r="F48" s="2">
        <v>1.9096064583864001</v>
      </c>
      <c r="G48" s="2" t="s">
        <v>34</v>
      </c>
      <c r="H48" s="2">
        <v>0</v>
      </c>
      <c r="I48" s="2">
        <v>46</v>
      </c>
      <c r="J48" s="2">
        <v>0</v>
      </c>
      <c r="K48" s="2">
        <v>46</v>
      </c>
      <c r="L48" s="2">
        <v>0</v>
      </c>
      <c r="M48" s="2">
        <v>118.644444374949</v>
      </c>
      <c r="P48" s="2">
        <v>118.63363020832099</v>
      </c>
      <c r="Q48" s="2">
        <v>118.644444374949</v>
      </c>
      <c r="R48" s="2">
        <v>119.644555166712</v>
      </c>
      <c r="S48" s="2">
        <v>119.644555166712</v>
      </c>
      <c r="T48" s="2">
        <v>121.567178166704</v>
      </c>
      <c r="U48" s="2" t="s">
        <v>40</v>
      </c>
      <c r="V48" s="2">
        <v>1</v>
      </c>
      <c r="W48" s="2">
        <v>1.9096064583864001</v>
      </c>
      <c r="X48" s="2" t="s">
        <v>34</v>
      </c>
      <c r="Y48" s="2">
        <v>0</v>
      </c>
      <c r="Z48" s="2" t="s">
        <v>35</v>
      </c>
      <c r="AA48" s="2">
        <v>1</v>
      </c>
      <c r="AB48" s="2" t="s">
        <v>36</v>
      </c>
      <c r="AC48" s="2" t="s">
        <v>37</v>
      </c>
      <c r="AE48" s="2" t="s">
        <v>38</v>
      </c>
      <c r="AF48" s="2">
        <v>59.966074217912599</v>
      </c>
      <c r="AG48" s="2" t="s">
        <v>39</v>
      </c>
    </row>
    <row r="49" spans="1:33">
      <c r="A49" s="2">
        <v>47</v>
      </c>
      <c r="B49" s="2">
        <v>0</v>
      </c>
      <c r="C49" s="2">
        <v>47</v>
      </c>
      <c r="D49" s="2" t="s">
        <v>40</v>
      </c>
      <c r="E49" s="2">
        <v>1</v>
      </c>
      <c r="F49" s="2">
        <v>0.89241124992258802</v>
      </c>
      <c r="G49" s="2" t="s">
        <v>34</v>
      </c>
      <c r="H49" s="2">
        <v>0</v>
      </c>
      <c r="I49" s="2">
        <v>47</v>
      </c>
      <c r="J49" s="2">
        <v>0</v>
      </c>
      <c r="K49" s="2">
        <v>47</v>
      </c>
      <c r="L49" s="2">
        <v>0</v>
      </c>
      <c r="M49" s="2">
        <v>121.5774172917</v>
      </c>
      <c r="P49" s="2">
        <v>121.567446916713</v>
      </c>
      <c r="Q49" s="2">
        <v>121.5774172917</v>
      </c>
      <c r="R49" s="2">
        <v>122.577769958297</v>
      </c>
      <c r="S49" s="2">
        <v>122.577769958297</v>
      </c>
      <c r="T49" s="2">
        <v>123.48062829161</v>
      </c>
      <c r="U49" s="2" t="s">
        <v>40</v>
      </c>
      <c r="V49" s="2">
        <v>1</v>
      </c>
      <c r="W49" s="2">
        <v>0.89241124992258802</v>
      </c>
      <c r="X49" s="2" t="s">
        <v>34</v>
      </c>
      <c r="Y49" s="2">
        <v>0</v>
      </c>
      <c r="Z49" s="2" t="s">
        <v>35</v>
      </c>
      <c r="AA49" s="2">
        <v>1</v>
      </c>
      <c r="AB49" s="2" t="s">
        <v>36</v>
      </c>
      <c r="AC49" s="2" t="s">
        <v>37</v>
      </c>
      <c r="AE49" s="2" t="s">
        <v>38</v>
      </c>
      <c r="AF49" s="2">
        <v>59.966074217912599</v>
      </c>
      <c r="AG49" s="2" t="s">
        <v>39</v>
      </c>
    </row>
    <row r="50" spans="1:33">
      <c r="A50" s="2">
        <v>48</v>
      </c>
      <c r="B50" s="2">
        <v>0</v>
      </c>
      <c r="C50" s="2">
        <v>48</v>
      </c>
      <c r="D50" s="2" t="s">
        <v>40</v>
      </c>
      <c r="E50" s="2">
        <v>1</v>
      </c>
      <c r="F50" s="2">
        <v>0.74434633331838995</v>
      </c>
      <c r="G50" s="2" t="s">
        <v>34</v>
      </c>
      <c r="H50" s="2">
        <v>0</v>
      </c>
      <c r="I50" s="2">
        <v>48</v>
      </c>
      <c r="J50" s="2">
        <v>0</v>
      </c>
      <c r="K50" s="2">
        <v>48</v>
      </c>
      <c r="L50" s="2">
        <v>0</v>
      </c>
      <c r="M50" s="2">
        <v>123.494532958371</v>
      </c>
      <c r="P50" s="2">
        <v>123.480760833364</v>
      </c>
      <c r="Q50" s="2">
        <v>123.494532958371</v>
      </c>
      <c r="R50" s="2">
        <v>124.49484675005</v>
      </c>
      <c r="S50" s="2">
        <v>124.49484675005</v>
      </c>
      <c r="T50" s="2">
        <v>125.249154583318</v>
      </c>
      <c r="U50" s="2" t="s">
        <v>40</v>
      </c>
      <c r="V50" s="2">
        <v>1</v>
      </c>
      <c r="W50" s="2">
        <v>0.74434633331838995</v>
      </c>
      <c r="X50" s="2" t="s">
        <v>34</v>
      </c>
      <c r="Y50" s="2">
        <v>0</v>
      </c>
      <c r="Z50" s="2" t="s">
        <v>35</v>
      </c>
      <c r="AA50" s="2">
        <v>1</v>
      </c>
      <c r="AB50" s="2" t="s">
        <v>36</v>
      </c>
      <c r="AC50" s="2" t="s">
        <v>37</v>
      </c>
      <c r="AE50" s="2" t="s">
        <v>38</v>
      </c>
      <c r="AF50" s="2">
        <v>59.966074217912599</v>
      </c>
      <c r="AG50" s="2" t="s">
        <v>39</v>
      </c>
    </row>
    <row r="51" spans="1:33">
      <c r="A51" s="2">
        <v>49</v>
      </c>
      <c r="B51" s="2">
        <v>0</v>
      </c>
      <c r="C51" s="2">
        <v>49</v>
      </c>
      <c r="D51" s="2" t="s">
        <v>40</v>
      </c>
      <c r="E51" s="2">
        <v>1</v>
      </c>
      <c r="F51" s="2">
        <v>0.88701854168903005</v>
      </c>
      <c r="G51" s="2" t="s">
        <v>34</v>
      </c>
      <c r="H51" s="2">
        <v>0</v>
      </c>
      <c r="I51" s="2">
        <v>49</v>
      </c>
      <c r="J51" s="2">
        <v>0</v>
      </c>
      <c r="K51" s="2">
        <v>49</v>
      </c>
      <c r="L51" s="2">
        <v>0</v>
      </c>
      <c r="M51" s="2">
        <v>125.26079650002001</v>
      </c>
      <c r="P51" s="2">
        <v>125.24937458336299</v>
      </c>
      <c r="Q51" s="2">
        <v>125.26079650002001</v>
      </c>
      <c r="R51" s="2">
        <v>126.26103466667701</v>
      </c>
      <c r="S51" s="2">
        <v>126.26103466667701</v>
      </c>
      <c r="T51" s="2">
        <v>127.168599583324</v>
      </c>
      <c r="U51" s="2" t="s">
        <v>40</v>
      </c>
      <c r="V51" s="2">
        <v>1</v>
      </c>
      <c r="W51" s="2">
        <v>0.88701854168903005</v>
      </c>
      <c r="X51" s="2" t="s">
        <v>34</v>
      </c>
      <c r="Y51" s="2">
        <v>0</v>
      </c>
      <c r="Z51" s="2" t="s">
        <v>35</v>
      </c>
      <c r="AA51" s="2">
        <v>1</v>
      </c>
      <c r="AB51" s="2" t="s">
        <v>36</v>
      </c>
      <c r="AC51" s="2" t="s">
        <v>37</v>
      </c>
      <c r="AE51" s="2" t="s">
        <v>38</v>
      </c>
      <c r="AF51" s="2">
        <v>59.966074217912599</v>
      </c>
      <c r="AG51" s="2" t="s">
        <v>39</v>
      </c>
    </row>
    <row r="52" spans="1:33">
      <c r="A52" s="2">
        <v>50</v>
      </c>
      <c r="B52" s="2">
        <v>0</v>
      </c>
      <c r="C52" s="2">
        <v>50</v>
      </c>
      <c r="D52" s="2" t="s">
        <v>33</v>
      </c>
      <c r="E52" s="2">
        <v>1</v>
      </c>
      <c r="F52" s="2">
        <v>1.1763949167216099</v>
      </c>
      <c r="G52" s="2" t="s">
        <v>34</v>
      </c>
      <c r="H52" s="2">
        <v>2</v>
      </c>
      <c r="I52" s="2">
        <v>50</v>
      </c>
      <c r="J52" s="2">
        <v>0</v>
      </c>
      <c r="K52" s="2">
        <v>50</v>
      </c>
      <c r="L52" s="2">
        <v>0</v>
      </c>
      <c r="M52" s="2">
        <v>127.177463124971</v>
      </c>
      <c r="P52" s="2">
        <v>127.16898641665399</v>
      </c>
      <c r="Q52" s="2">
        <v>127.177463124971</v>
      </c>
      <c r="R52" s="2">
        <v>128.177678124979</v>
      </c>
      <c r="S52" s="2">
        <v>128.177678124979</v>
      </c>
      <c r="T52" s="2">
        <v>129.365401374991</v>
      </c>
      <c r="U52" s="2" t="s">
        <v>33</v>
      </c>
      <c r="V52" s="2">
        <v>1</v>
      </c>
      <c r="W52" s="2">
        <v>1.1763949167216099</v>
      </c>
      <c r="X52" s="2" t="s">
        <v>34</v>
      </c>
      <c r="Y52" s="2">
        <v>2</v>
      </c>
      <c r="Z52" s="2" t="s">
        <v>35</v>
      </c>
      <c r="AA52" s="2">
        <v>1</v>
      </c>
      <c r="AB52" s="2" t="s">
        <v>36</v>
      </c>
      <c r="AC52" s="2" t="s">
        <v>37</v>
      </c>
      <c r="AE52" s="2" t="s">
        <v>38</v>
      </c>
      <c r="AF52" s="2">
        <v>59.966074217912599</v>
      </c>
      <c r="AG52" s="2" t="s">
        <v>39</v>
      </c>
    </row>
    <row r="53" spans="1:33">
      <c r="A53" s="2">
        <v>51</v>
      </c>
      <c r="B53" s="2">
        <v>0</v>
      </c>
      <c r="C53" s="2">
        <v>51</v>
      </c>
      <c r="D53" s="2" t="s">
        <v>33</v>
      </c>
      <c r="E53" s="2">
        <v>1</v>
      </c>
      <c r="F53" s="2">
        <v>1.4751226248918099</v>
      </c>
      <c r="G53" s="2" t="s">
        <v>34</v>
      </c>
      <c r="H53" s="2">
        <v>0</v>
      </c>
      <c r="I53" s="2">
        <v>51</v>
      </c>
      <c r="J53" s="2">
        <v>0</v>
      </c>
      <c r="K53" s="2">
        <v>51</v>
      </c>
      <c r="L53" s="2">
        <v>0</v>
      </c>
      <c r="M53" s="2">
        <v>129.37775187496999</v>
      </c>
      <c r="P53" s="2">
        <v>129.36563541670299</v>
      </c>
      <c r="Q53" s="2">
        <v>129.37775187496999</v>
      </c>
      <c r="R53" s="2">
        <v>130.37788899999501</v>
      </c>
      <c r="S53" s="2">
        <v>130.37788899999501</v>
      </c>
      <c r="T53" s="2">
        <v>131.86551562498701</v>
      </c>
      <c r="U53" s="2" t="s">
        <v>33</v>
      </c>
      <c r="V53" s="2">
        <v>1</v>
      </c>
      <c r="W53" s="2">
        <v>1.4751226248918099</v>
      </c>
      <c r="X53" s="2" t="s">
        <v>34</v>
      </c>
      <c r="Y53" s="2">
        <v>0</v>
      </c>
      <c r="Z53" s="2" t="s">
        <v>35</v>
      </c>
      <c r="AA53" s="2">
        <v>1</v>
      </c>
      <c r="AB53" s="2" t="s">
        <v>36</v>
      </c>
      <c r="AC53" s="2" t="s">
        <v>37</v>
      </c>
      <c r="AE53" s="2" t="s">
        <v>38</v>
      </c>
      <c r="AF53" s="2">
        <v>59.966074217912599</v>
      </c>
      <c r="AG53" s="2" t="s">
        <v>39</v>
      </c>
    </row>
    <row r="54" spans="1:33">
      <c r="A54" s="2">
        <v>52</v>
      </c>
      <c r="B54" s="2">
        <v>0</v>
      </c>
      <c r="C54" s="2">
        <v>52</v>
      </c>
      <c r="D54" s="2" t="s">
        <v>33</v>
      </c>
      <c r="E54" s="2">
        <v>1</v>
      </c>
      <c r="F54" s="2">
        <v>0.90612499997951002</v>
      </c>
      <c r="G54" s="2" t="s">
        <v>34</v>
      </c>
      <c r="H54" s="2">
        <v>1</v>
      </c>
      <c r="I54" s="2">
        <v>52</v>
      </c>
      <c r="J54" s="2">
        <v>0</v>
      </c>
      <c r="K54" s="2">
        <v>52</v>
      </c>
      <c r="L54" s="2">
        <v>0</v>
      </c>
      <c r="M54" s="2">
        <v>131.87772095832</v>
      </c>
      <c r="P54" s="2">
        <v>131.86575183330501</v>
      </c>
      <c r="Q54" s="2">
        <v>131.87772095832</v>
      </c>
      <c r="R54" s="2">
        <v>132.87782054161599</v>
      </c>
      <c r="S54" s="2">
        <v>132.87782054161599</v>
      </c>
      <c r="T54" s="2">
        <v>133.80008412501701</v>
      </c>
      <c r="U54" s="2" t="s">
        <v>33</v>
      </c>
      <c r="V54" s="2">
        <v>1</v>
      </c>
      <c r="W54" s="2">
        <v>0.90612499997951002</v>
      </c>
      <c r="X54" s="2" t="s">
        <v>34</v>
      </c>
      <c r="Y54" s="2">
        <v>1</v>
      </c>
      <c r="Z54" s="2" t="s">
        <v>35</v>
      </c>
      <c r="AA54" s="2">
        <v>1</v>
      </c>
      <c r="AB54" s="2" t="s">
        <v>36</v>
      </c>
      <c r="AC54" s="2" t="s">
        <v>37</v>
      </c>
      <c r="AE54" s="2" t="s">
        <v>38</v>
      </c>
      <c r="AF54" s="2">
        <v>59.966074217912599</v>
      </c>
      <c r="AG54" s="2" t="s">
        <v>39</v>
      </c>
    </row>
    <row r="55" spans="1:33">
      <c r="A55" s="2">
        <v>53</v>
      </c>
      <c r="B55" s="2">
        <v>0</v>
      </c>
      <c r="C55" s="2">
        <v>53</v>
      </c>
      <c r="D55" s="2" t="s">
        <v>40</v>
      </c>
      <c r="E55" s="2">
        <v>0</v>
      </c>
      <c r="F55" s="2">
        <v>2.8516187500208598</v>
      </c>
      <c r="G55" s="2" t="s">
        <v>34</v>
      </c>
      <c r="H55" s="2">
        <v>1</v>
      </c>
      <c r="I55" s="2">
        <v>53</v>
      </c>
      <c r="J55" s="2">
        <v>0</v>
      </c>
      <c r="K55" s="2">
        <v>53</v>
      </c>
      <c r="L55" s="2">
        <v>0</v>
      </c>
      <c r="M55" s="2">
        <v>133.81072191661201</v>
      </c>
      <c r="P55" s="2">
        <v>133.800332916667</v>
      </c>
      <c r="Q55" s="2">
        <v>133.81072191661201</v>
      </c>
      <c r="R55" s="2">
        <v>134.81127525004501</v>
      </c>
      <c r="S55" s="2">
        <v>134.81127525004501</v>
      </c>
      <c r="T55" s="2">
        <v>137.66539558337499</v>
      </c>
      <c r="U55" s="2" t="s">
        <v>40</v>
      </c>
      <c r="V55" s="2">
        <v>0</v>
      </c>
      <c r="W55" s="2">
        <v>2.8516187500208598</v>
      </c>
      <c r="X55" s="2" t="s">
        <v>34</v>
      </c>
      <c r="Y55" s="2">
        <v>1</v>
      </c>
      <c r="Z55" s="2" t="s">
        <v>35</v>
      </c>
      <c r="AA55" s="2">
        <v>1</v>
      </c>
      <c r="AB55" s="2" t="s">
        <v>36</v>
      </c>
      <c r="AC55" s="2" t="s">
        <v>37</v>
      </c>
      <c r="AE55" s="2" t="s">
        <v>38</v>
      </c>
      <c r="AF55" s="2">
        <v>59.966074217912599</v>
      </c>
      <c r="AG55" s="2" t="s">
        <v>39</v>
      </c>
    </row>
    <row r="56" spans="1:33">
      <c r="A56" s="2">
        <v>54</v>
      </c>
      <c r="B56" s="2">
        <v>0</v>
      </c>
      <c r="C56" s="2">
        <v>54</v>
      </c>
      <c r="D56" s="2" t="s">
        <v>40</v>
      </c>
      <c r="E56" s="2">
        <v>1</v>
      </c>
      <c r="F56" s="2">
        <v>1.79402937495615</v>
      </c>
      <c r="G56" s="2" t="s">
        <v>34</v>
      </c>
      <c r="H56" s="2">
        <v>0</v>
      </c>
      <c r="I56" s="2">
        <v>54</v>
      </c>
      <c r="J56" s="2">
        <v>0</v>
      </c>
      <c r="K56" s="2">
        <v>54</v>
      </c>
      <c r="L56" s="2">
        <v>0</v>
      </c>
      <c r="M56" s="2">
        <v>137.68019108334499</v>
      </c>
      <c r="P56" s="2">
        <v>137.66565895837201</v>
      </c>
      <c r="Q56" s="2">
        <v>137.68019108334499</v>
      </c>
      <c r="R56" s="2">
        <v>138.67778145836201</v>
      </c>
      <c r="S56" s="2">
        <v>138.69441999995601</v>
      </c>
      <c r="T56" s="2">
        <v>140.482557625044</v>
      </c>
      <c r="U56" s="2" t="s">
        <v>40</v>
      </c>
      <c r="V56" s="2">
        <v>1</v>
      </c>
      <c r="W56" s="2">
        <v>1.79402937495615</v>
      </c>
      <c r="X56" s="2" t="s">
        <v>34</v>
      </c>
      <c r="Y56" s="2">
        <v>0</v>
      </c>
      <c r="Z56" s="2" t="s">
        <v>35</v>
      </c>
      <c r="AA56" s="2">
        <v>1</v>
      </c>
      <c r="AB56" s="2" t="s">
        <v>36</v>
      </c>
      <c r="AC56" s="2" t="s">
        <v>37</v>
      </c>
      <c r="AE56" s="2" t="s">
        <v>38</v>
      </c>
      <c r="AF56" s="2">
        <v>59.966074217912599</v>
      </c>
      <c r="AG56" s="2" t="s">
        <v>39</v>
      </c>
    </row>
    <row r="57" spans="1:33">
      <c r="A57" s="2">
        <v>55</v>
      </c>
      <c r="B57" s="2">
        <v>0</v>
      </c>
      <c r="C57" s="2">
        <v>55</v>
      </c>
      <c r="D57" s="2" t="s">
        <v>40</v>
      </c>
      <c r="E57" s="2">
        <v>0</v>
      </c>
      <c r="F57" s="2">
        <v>1.4132477500243099</v>
      </c>
      <c r="G57" s="2" t="s">
        <v>34</v>
      </c>
      <c r="H57" s="2">
        <v>4</v>
      </c>
      <c r="I57" s="2">
        <v>55</v>
      </c>
      <c r="J57" s="2">
        <v>0</v>
      </c>
      <c r="K57" s="2">
        <v>55</v>
      </c>
      <c r="L57" s="2">
        <v>0</v>
      </c>
      <c r="M57" s="2">
        <v>140.49386666668499</v>
      </c>
      <c r="P57" s="2">
        <v>140.48277779167901</v>
      </c>
      <c r="Q57" s="2">
        <v>140.49386666668499</v>
      </c>
      <c r="R57" s="2">
        <v>141.49445958330699</v>
      </c>
      <c r="S57" s="2">
        <v>141.49445958330699</v>
      </c>
      <c r="T57" s="2">
        <v>142.91565199999599</v>
      </c>
      <c r="U57" s="2" t="s">
        <v>40</v>
      </c>
      <c r="V57" s="2">
        <v>0</v>
      </c>
      <c r="W57" s="2">
        <v>1.4132477500243099</v>
      </c>
      <c r="X57" s="2" t="s">
        <v>34</v>
      </c>
      <c r="Y57" s="2">
        <v>4</v>
      </c>
      <c r="Z57" s="2" t="s">
        <v>35</v>
      </c>
      <c r="AA57" s="2">
        <v>1</v>
      </c>
      <c r="AB57" s="2" t="s">
        <v>36</v>
      </c>
      <c r="AC57" s="2" t="s">
        <v>37</v>
      </c>
      <c r="AE57" s="2" t="s">
        <v>38</v>
      </c>
      <c r="AF57" s="2">
        <v>59.966074217912599</v>
      </c>
      <c r="AG57" s="2" t="s">
        <v>39</v>
      </c>
    </row>
    <row r="58" spans="1:33">
      <c r="A58" s="2">
        <v>56</v>
      </c>
      <c r="B58" s="2">
        <v>0</v>
      </c>
      <c r="C58" s="2">
        <v>56</v>
      </c>
      <c r="D58" s="2" t="s">
        <v>33</v>
      </c>
      <c r="E58" s="2">
        <v>0</v>
      </c>
      <c r="F58" s="2">
        <v>2.6498249999713099</v>
      </c>
      <c r="G58" s="2" t="s">
        <v>34</v>
      </c>
      <c r="H58" s="2">
        <v>0</v>
      </c>
      <c r="I58" s="2">
        <v>56</v>
      </c>
      <c r="J58" s="2">
        <v>0</v>
      </c>
      <c r="K58" s="2">
        <v>56</v>
      </c>
      <c r="L58" s="2">
        <v>0</v>
      </c>
      <c r="M58" s="2">
        <v>142.92780529160501</v>
      </c>
      <c r="P58" s="2">
        <v>142.91579324996499</v>
      </c>
      <c r="Q58" s="2">
        <v>142.92780529160501</v>
      </c>
      <c r="R58" s="2">
        <v>143.927719333325</v>
      </c>
      <c r="S58" s="2">
        <v>143.927719333325</v>
      </c>
      <c r="T58" s="2">
        <v>146.58070741663599</v>
      </c>
      <c r="U58" s="2" t="s">
        <v>33</v>
      </c>
      <c r="V58" s="2">
        <v>0</v>
      </c>
      <c r="W58" s="2">
        <v>2.6498249999713099</v>
      </c>
      <c r="X58" s="2" t="s">
        <v>34</v>
      </c>
      <c r="Y58" s="2">
        <v>0</v>
      </c>
      <c r="Z58" s="2" t="s">
        <v>35</v>
      </c>
      <c r="AA58" s="2">
        <v>1</v>
      </c>
      <c r="AB58" s="2" t="s">
        <v>36</v>
      </c>
      <c r="AC58" s="2" t="s">
        <v>37</v>
      </c>
      <c r="AE58" s="2" t="s">
        <v>38</v>
      </c>
      <c r="AF58" s="2">
        <v>59.966074217912599</v>
      </c>
      <c r="AG58" s="2" t="s">
        <v>39</v>
      </c>
    </row>
    <row r="59" spans="1:33">
      <c r="A59" s="2">
        <v>57</v>
      </c>
      <c r="B59" s="2">
        <v>0</v>
      </c>
      <c r="C59" s="2">
        <v>57</v>
      </c>
      <c r="D59" s="2" t="s">
        <v>40</v>
      </c>
      <c r="E59" s="2">
        <v>0</v>
      </c>
      <c r="F59" s="2">
        <v>1.08306079171597</v>
      </c>
      <c r="G59" s="2" t="s">
        <v>34</v>
      </c>
      <c r="H59" s="2">
        <v>-2</v>
      </c>
      <c r="I59" s="2">
        <v>57</v>
      </c>
      <c r="J59" s="2">
        <v>0</v>
      </c>
      <c r="K59" s="2">
        <v>57</v>
      </c>
      <c r="L59" s="2">
        <v>0</v>
      </c>
      <c r="M59" s="2">
        <v>146.59441991662601</v>
      </c>
      <c r="P59" s="2">
        <v>146.580940791638</v>
      </c>
      <c r="Q59" s="2">
        <v>146.59441991662601</v>
      </c>
      <c r="R59" s="2">
        <v>147.594527083332</v>
      </c>
      <c r="S59" s="2">
        <v>147.594527083332</v>
      </c>
      <c r="T59" s="2">
        <v>148.68205837497899</v>
      </c>
      <c r="U59" s="2" t="s">
        <v>40</v>
      </c>
      <c r="V59" s="2">
        <v>0</v>
      </c>
      <c r="W59" s="2">
        <v>1.08306079171597</v>
      </c>
      <c r="X59" s="2" t="s">
        <v>34</v>
      </c>
      <c r="Y59" s="2">
        <v>-2</v>
      </c>
      <c r="Z59" s="2" t="s">
        <v>35</v>
      </c>
      <c r="AA59" s="2">
        <v>1</v>
      </c>
      <c r="AB59" s="2" t="s">
        <v>36</v>
      </c>
      <c r="AC59" s="2" t="s">
        <v>37</v>
      </c>
      <c r="AE59" s="2" t="s">
        <v>38</v>
      </c>
      <c r="AF59" s="2">
        <v>59.966074217912599</v>
      </c>
      <c r="AG59" s="2" t="s">
        <v>39</v>
      </c>
    </row>
    <row r="60" spans="1:33">
      <c r="A60" s="2">
        <v>58</v>
      </c>
      <c r="B60" s="2">
        <v>0</v>
      </c>
      <c r="C60" s="2">
        <v>58</v>
      </c>
      <c r="D60" s="2" t="s">
        <v>33</v>
      </c>
      <c r="E60" s="2">
        <v>0</v>
      </c>
      <c r="F60" s="2">
        <v>2.1880949583137399</v>
      </c>
      <c r="G60" s="2" t="s">
        <v>34</v>
      </c>
      <c r="H60" s="2">
        <v>0</v>
      </c>
      <c r="I60" s="2">
        <v>58</v>
      </c>
      <c r="J60" s="2">
        <v>0</v>
      </c>
      <c r="K60" s="2">
        <v>58</v>
      </c>
      <c r="L60" s="2">
        <v>0</v>
      </c>
      <c r="M60" s="2">
        <v>148.69405491661701</v>
      </c>
      <c r="P60" s="2">
        <v>148.68235979171001</v>
      </c>
      <c r="Q60" s="2">
        <v>148.69405491661701</v>
      </c>
      <c r="R60" s="2">
        <v>149.69443662499501</v>
      </c>
      <c r="S60" s="2">
        <v>149.69443662499501</v>
      </c>
      <c r="T60" s="2">
        <v>151.90042341663499</v>
      </c>
      <c r="U60" s="2" t="s">
        <v>33</v>
      </c>
      <c r="V60" s="2">
        <v>0</v>
      </c>
      <c r="W60" s="2">
        <v>2.1880949583137399</v>
      </c>
      <c r="X60" s="2" t="s">
        <v>34</v>
      </c>
      <c r="Y60" s="2">
        <v>0</v>
      </c>
      <c r="Z60" s="2" t="s">
        <v>35</v>
      </c>
      <c r="AA60" s="2">
        <v>1</v>
      </c>
      <c r="AB60" s="2" t="s">
        <v>36</v>
      </c>
      <c r="AC60" s="2" t="s">
        <v>37</v>
      </c>
      <c r="AE60" s="2" t="s">
        <v>38</v>
      </c>
      <c r="AF60" s="2">
        <v>59.966074217912599</v>
      </c>
      <c r="AG60" s="2" t="s">
        <v>39</v>
      </c>
    </row>
    <row r="61" spans="1:33">
      <c r="A61" s="2">
        <v>59</v>
      </c>
      <c r="B61" s="2">
        <v>0</v>
      </c>
      <c r="C61" s="2">
        <v>59</v>
      </c>
      <c r="D61" s="2" t="s">
        <v>33</v>
      </c>
      <c r="E61" s="2">
        <v>0</v>
      </c>
      <c r="F61" s="2">
        <v>0.72333441663067699</v>
      </c>
      <c r="G61" s="2" t="s">
        <v>34</v>
      </c>
      <c r="H61" s="2">
        <v>0</v>
      </c>
      <c r="I61" s="2">
        <v>59</v>
      </c>
      <c r="J61" s="2">
        <v>0</v>
      </c>
      <c r="K61" s="2">
        <v>59</v>
      </c>
      <c r="L61" s="2">
        <v>0</v>
      </c>
      <c r="M61" s="2">
        <v>151.91075587493799</v>
      </c>
      <c r="P61" s="2">
        <v>151.90065479162101</v>
      </c>
      <c r="Q61" s="2">
        <v>151.91075587493799</v>
      </c>
      <c r="R61" s="2">
        <v>152.911131000029</v>
      </c>
      <c r="S61" s="2">
        <v>152.911131000029</v>
      </c>
      <c r="T61" s="2">
        <v>153.64897787501101</v>
      </c>
      <c r="U61" s="2" t="s">
        <v>33</v>
      </c>
      <c r="V61" s="2">
        <v>0</v>
      </c>
      <c r="W61" s="2">
        <v>0.72333441663067699</v>
      </c>
      <c r="X61" s="2" t="s">
        <v>34</v>
      </c>
      <c r="Y61" s="2">
        <v>0</v>
      </c>
      <c r="Z61" s="2" t="s">
        <v>35</v>
      </c>
      <c r="AA61" s="2">
        <v>1</v>
      </c>
      <c r="AB61" s="2" t="s">
        <v>36</v>
      </c>
      <c r="AC61" s="2" t="s">
        <v>37</v>
      </c>
      <c r="AE61" s="2" t="s">
        <v>38</v>
      </c>
      <c r="AF61" s="2">
        <v>59.966074217912599</v>
      </c>
      <c r="AG61" s="2" t="s">
        <v>39</v>
      </c>
    </row>
    <row r="62" spans="1:33">
      <c r="A62" s="2">
        <v>60</v>
      </c>
      <c r="B62" s="2">
        <v>0</v>
      </c>
      <c r="C62" s="2">
        <v>60</v>
      </c>
      <c r="D62" s="2" t="s">
        <v>33</v>
      </c>
      <c r="E62" s="2">
        <v>0</v>
      </c>
      <c r="F62" s="2">
        <v>1.1084158333251199</v>
      </c>
      <c r="G62" s="2" t="s">
        <v>34</v>
      </c>
      <c r="H62" s="2">
        <v>0</v>
      </c>
      <c r="I62" s="2">
        <v>60</v>
      </c>
      <c r="J62" s="2">
        <v>0</v>
      </c>
      <c r="K62" s="2">
        <v>60</v>
      </c>
      <c r="L62" s="2">
        <v>0</v>
      </c>
      <c r="M62" s="2">
        <v>153.66111062502</v>
      </c>
      <c r="P62" s="2">
        <v>153.64919533336001</v>
      </c>
      <c r="Q62" s="2">
        <v>153.66111062502</v>
      </c>
      <c r="R62" s="2">
        <v>154.661043833359</v>
      </c>
      <c r="S62" s="2">
        <v>154.661043833359</v>
      </c>
      <c r="T62" s="2">
        <v>155.78398179169699</v>
      </c>
      <c r="U62" s="2" t="s">
        <v>33</v>
      </c>
      <c r="V62" s="2">
        <v>0</v>
      </c>
      <c r="W62" s="2">
        <v>1.1084158333251199</v>
      </c>
      <c r="X62" s="2" t="s">
        <v>34</v>
      </c>
      <c r="Y62" s="2">
        <v>0</v>
      </c>
      <c r="Z62" s="2" t="s">
        <v>35</v>
      </c>
      <c r="AA62" s="2">
        <v>1</v>
      </c>
      <c r="AB62" s="2" t="s">
        <v>36</v>
      </c>
      <c r="AC62" s="2" t="s">
        <v>37</v>
      </c>
      <c r="AE62" s="2" t="s">
        <v>38</v>
      </c>
      <c r="AF62" s="2">
        <v>59.966074217912599</v>
      </c>
      <c r="AG62" s="2" t="s">
        <v>39</v>
      </c>
    </row>
    <row r="63" spans="1:33">
      <c r="A63" s="2">
        <v>61</v>
      </c>
      <c r="B63" s="2">
        <v>0</v>
      </c>
      <c r="C63" s="2">
        <v>61</v>
      </c>
      <c r="D63" s="2" t="s">
        <v>40</v>
      </c>
      <c r="E63" s="2">
        <v>1</v>
      </c>
      <c r="F63" s="2">
        <v>1.19201729167252</v>
      </c>
      <c r="G63" s="2" t="s">
        <v>34</v>
      </c>
      <c r="H63" s="2">
        <v>0</v>
      </c>
      <c r="I63" s="2">
        <v>61</v>
      </c>
      <c r="J63" s="2">
        <v>0</v>
      </c>
      <c r="K63" s="2">
        <v>61</v>
      </c>
      <c r="L63" s="2">
        <v>0</v>
      </c>
      <c r="M63" s="2">
        <v>155.79400279163301</v>
      </c>
      <c r="P63" s="2">
        <v>155.78424950002201</v>
      </c>
      <c r="Q63" s="2">
        <v>155.79400279163301</v>
      </c>
      <c r="R63" s="2">
        <v>156.79440741671701</v>
      </c>
      <c r="S63" s="2">
        <v>156.79440741671701</v>
      </c>
      <c r="T63" s="2">
        <v>158.00033141660899</v>
      </c>
      <c r="U63" s="2" t="s">
        <v>40</v>
      </c>
      <c r="V63" s="2">
        <v>1</v>
      </c>
      <c r="W63" s="2">
        <v>1.19201729167252</v>
      </c>
      <c r="X63" s="2" t="s">
        <v>34</v>
      </c>
      <c r="Y63" s="2">
        <v>0</v>
      </c>
      <c r="Z63" s="2" t="s">
        <v>35</v>
      </c>
      <c r="AA63" s="2">
        <v>1</v>
      </c>
      <c r="AB63" s="2" t="s">
        <v>36</v>
      </c>
      <c r="AC63" s="2" t="s">
        <v>37</v>
      </c>
      <c r="AE63" s="2" t="s">
        <v>38</v>
      </c>
      <c r="AF63" s="2">
        <v>59.966074217912599</v>
      </c>
      <c r="AG63" s="2" t="s">
        <v>39</v>
      </c>
    </row>
    <row r="64" spans="1:33">
      <c r="A64" s="2">
        <v>62</v>
      </c>
      <c r="B64" s="2">
        <v>0</v>
      </c>
      <c r="C64" s="2">
        <v>62</v>
      </c>
      <c r="D64" s="2" t="s">
        <v>33</v>
      </c>
      <c r="E64" s="2">
        <v>0</v>
      </c>
      <c r="F64" s="2">
        <v>1.8721312499837901</v>
      </c>
      <c r="G64" s="2" t="s">
        <v>34</v>
      </c>
      <c r="H64" s="2">
        <v>0</v>
      </c>
      <c r="I64" s="2">
        <v>62</v>
      </c>
      <c r="J64" s="2">
        <v>0</v>
      </c>
      <c r="K64" s="2">
        <v>62</v>
      </c>
      <c r="L64" s="2">
        <v>0</v>
      </c>
      <c r="M64" s="2">
        <v>158.01064712496</v>
      </c>
      <c r="P64" s="2">
        <v>158.000544541631</v>
      </c>
      <c r="Q64" s="2">
        <v>158.01064712496</v>
      </c>
      <c r="R64" s="2">
        <v>159.01117633329699</v>
      </c>
      <c r="S64" s="2">
        <v>159.01117633329699</v>
      </c>
      <c r="T64" s="2">
        <v>160.89986683335101</v>
      </c>
      <c r="U64" s="2" t="s">
        <v>33</v>
      </c>
      <c r="V64" s="2">
        <v>0</v>
      </c>
      <c r="W64" s="2">
        <v>1.8721312499837901</v>
      </c>
      <c r="X64" s="2" t="s">
        <v>34</v>
      </c>
      <c r="Y64" s="2">
        <v>0</v>
      </c>
      <c r="Z64" s="2" t="s">
        <v>35</v>
      </c>
      <c r="AA64" s="2">
        <v>1</v>
      </c>
      <c r="AB64" s="2" t="s">
        <v>36</v>
      </c>
      <c r="AC64" s="2" t="s">
        <v>37</v>
      </c>
      <c r="AE64" s="2" t="s">
        <v>38</v>
      </c>
      <c r="AF64" s="2">
        <v>59.966074217912599</v>
      </c>
      <c r="AG64" s="2" t="s">
        <v>39</v>
      </c>
    </row>
    <row r="65" spans="1:33">
      <c r="A65" s="2">
        <v>63</v>
      </c>
      <c r="B65" s="2">
        <v>0</v>
      </c>
      <c r="C65" s="2">
        <v>63</v>
      </c>
      <c r="D65" s="2" t="s">
        <v>33</v>
      </c>
      <c r="E65" s="2">
        <v>1</v>
      </c>
      <c r="F65" s="2">
        <v>2.0013066666433499</v>
      </c>
      <c r="G65" s="2" t="s">
        <v>34</v>
      </c>
      <c r="H65" s="2">
        <v>-1</v>
      </c>
      <c r="I65" s="2">
        <v>63</v>
      </c>
      <c r="J65" s="2">
        <v>0</v>
      </c>
      <c r="K65" s="2">
        <v>63</v>
      </c>
      <c r="L65" s="2">
        <v>0</v>
      </c>
      <c r="M65" s="2">
        <v>160.91101612499901</v>
      </c>
      <c r="P65" s="2">
        <v>160.900120500009</v>
      </c>
      <c r="Q65" s="2">
        <v>160.91101612499901</v>
      </c>
      <c r="R65" s="2">
        <v>161.91101054172</v>
      </c>
      <c r="S65" s="2">
        <v>161.91101054172</v>
      </c>
      <c r="T65" s="2">
        <v>163.91507091664201</v>
      </c>
      <c r="U65" s="2" t="s">
        <v>33</v>
      </c>
      <c r="V65" s="2">
        <v>1</v>
      </c>
      <c r="W65" s="2">
        <v>2.0013066666433499</v>
      </c>
      <c r="X65" s="2" t="s">
        <v>34</v>
      </c>
      <c r="Y65" s="2">
        <v>-1</v>
      </c>
      <c r="Z65" s="2" t="s">
        <v>35</v>
      </c>
      <c r="AA65" s="2">
        <v>1</v>
      </c>
      <c r="AB65" s="2" t="s">
        <v>36</v>
      </c>
      <c r="AC65" s="2" t="s">
        <v>37</v>
      </c>
      <c r="AE65" s="2" t="s">
        <v>38</v>
      </c>
      <c r="AF65" s="2">
        <v>59.966074217912599</v>
      </c>
      <c r="AG65" s="2" t="s">
        <v>39</v>
      </c>
    </row>
    <row r="66" spans="1:33">
      <c r="A66" s="2">
        <v>64</v>
      </c>
      <c r="B66" s="2">
        <v>0</v>
      </c>
      <c r="C66" s="2">
        <v>64</v>
      </c>
      <c r="D66" s="2" t="s">
        <v>40</v>
      </c>
      <c r="E66" s="2">
        <v>0</v>
      </c>
      <c r="F66" s="2">
        <v>1.44223637494724</v>
      </c>
      <c r="G66" s="2" t="s">
        <v>34</v>
      </c>
      <c r="H66" s="2">
        <v>3</v>
      </c>
      <c r="I66" s="2">
        <v>64</v>
      </c>
      <c r="J66" s="2">
        <v>0</v>
      </c>
      <c r="K66" s="2">
        <v>64</v>
      </c>
      <c r="L66" s="2">
        <v>0</v>
      </c>
      <c r="M66" s="2">
        <v>163.92964400001799</v>
      </c>
      <c r="P66" s="2">
        <v>163.91532949998501</v>
      </c>
      <c r="Q66" s="2">
        <v>163.92964400001799</v>
      </c>
      <c r="R66" s="2">
        <v>164.92769549996501</v>
      </c>
      <c r="S66" s="2">
        <v>164.94468658335899</v>
      </c>
      <c r="T66" s="2">
        <v>166.38189533329501</v>
      </c>
      <c r="U66" s="2" t="s">
        <v>40</v>
      </c>
      <c r="V66" s="2">
        <v>0</v>
      </c>
      <c r="W66" s="2">
        <v>1.44223637494724</v>
      </c>
      <c r="X66" s="2" t="s">
        <v>34</v>
      </c>
      <c r="Y66" s="2">
        <v>3</v>
      </c>
      <c r="Z66" s="2" t="s">
        <v>35</v>
      </c>
      <c r="AA66" s="2">
        <v>1</v>
      </c>
      <c r="AB66" s="2" t="s">
        <v>36</v>
      </c>
      <c r="AC66" s="2" t="s">
        <v>37</v>
      </c>
      <c r="AE66" s="2" t="s">
        <v>38</v>
      </c>
      <c r="AF66" s="2">
        <v>59.966074217912599</v>
      </c>
      <c r="AG66" s="2" t="s">
        <v>39</v>
      </c>
    </row>
    <row r="67" spans="1:33">
      <c r="A67" s="2">
        <v>65</v>
      </c>
      <c r="B67" s="2">
        <v>0</v>
      </c>
      <c r="C67" s="2">
        <v>65</v>
      </c>
      <c r="D67" s="2" t="s">
        <v>33</v>
      </c>
      <c r="E67" s="2">
        <v>1</v>
      </c>
      <c r="F67" s="2">
        <v>1.5947727500461</v>
      </c>
      <c r="G67" s="2" t="s">
        <v>34</v>
      </c>
      <c r="H67" s="2">
        <v>-3</v>
      </c>
      <c r="I67" s="2">
        <v>65</v>
      </c>
      <c r="J67" s="2">
        <v>0</v>
      </c>
      <c r="K67" s="2">
        <v>65</v>
      </c>
      <c r="L67" s="2">
        <v>0</v>
      </c>
      <c r="M67" s="2">
        <v>166.39443387498599</v>
      </c>
      <c r="P67" s="2">
        <v>166.38211912498801</v>
      </c>
      <c r="Q67" s="2">
        <v>166.39443387498599</v>
      </c>
      <c r="R67" s="2">
        <v>167.39439029165001</v>
      </c>
      <c r="S67" s="2">
        <v>167.39439029165001</v>
      </c>
      <c r="T67" s="2">
        <v>168.99914870830199</v>
      </c>
      <c r="U67" s="2" t="s">
        <v>33</v>
      </c>
      <c r="V67" s="2">
        <v>1</v>
      </c>
      <c r="W67" s="2">
        <v>1.5947727500461</v>
      </c>
      <c r="X67" s="2" t="s">
        <v>34</v>
      </c>
      <c r="Y67" s="2">
        <v>-3</v>
      </c>
      <c r="Z67" s="2" t="s">
        <v>35</v>
      </c>
      <c r="AA67" s="2">
        <v>1</v>
      </c>
      <c r="AB67" s="2" t="s">
        <v>36</v>
      </c>
      <c r="AC67" s="2" t="s">
        <v>37</v>
      </c>
      <c r="AE67" s="2" t="s">
        <v>38</v>
      </c>
      <c r="AF67" s="2">
        <v>59.966074217912599</v>
      </c>
      <c r="AG67" s="2" t="s">
        <v>39</v>
      </c>
    </row>
    <row r="68" spans="1:33">
      <c r="A68" s="2">
        <v>66</v>
      </c>
      <c r="B68" s="2">
        <v>0</v>
      </c>
      <c r="C68" s="2">
        <v>66</v>
      </c>
      <c r="D68" s="2" t="s">
        <v>40</v>
      </c>
      <c r="E68" s="2">
        <v>1</v>
      </c>
      <c r="F68" s="2">
        <v>2.2250453333836</v>
      </c>
      <c r="G68" s="2" t="s">
        <v>34</v>
      </c>
      <c r="H68" s="2">
        <v>0</v>
      </c>
      <c r="I68" s="2">
        <v>66</v>
      </c>
      <c r="J68" s="2">
        <v>0</v>
      </c>
      <c r="K68" s="2">
        <v>66</v>
      </c>
      <c r="L68" s="2">
        <v>0</v>
      </c>
      <c r="M68" s="2">
        <v>169.01069337502099</v>
      </c>
      <c r="P68" s="2">
        <v>168.99941412499101</v>
      </c>
      <c r="Q68" s="2">
        <v>169.01069337502099</v>
      </c>
      <c r="R68" s="2">
        <v>170.01102670829201</v>
      </c>
      <c r="S68" s="2">
        <v>170.01102670829201</v>
      </c>
      <c r="T68" s="2">
        <v>172.24961762502701</v>
      </c>
      <c r="U68" s="2" t="s">
        <v>40</v>
      </c>
      <c r="V68" s="2">
        <v>1</v>
      </c>
      <c r="W68" s="2">
        <v>2.2250453333836</v>
      </c>
      <c r="X68" s="2" t="s">
        <v>34</v>
      </c>
      <c r="Y68" s="2">
        <v>0</v>
      </c>
      <c r="Z68" s="2" t="s">
        <v>35</v>
      </c>
      <c r="AA68" s="2">
        <v>1</v>
      </c>
      <c r="AB68" s="2" t="s">
        <v>36</v>
      </c>
      <c r="AC68" s="2" t="s">
        <v>37</v>
      </c>
      <c r="AE68" s="2" t="s">
        <v>38</v>
      </c>
      <c r="AF68" s="2">
        <v>59.966074217912599</v>
      </c>
      <c r="AG68" s="2" t="s">
        <v>39</v>
      </c>
    </row>
    <row r="69" spans="1:33">
      <c r="A69" s="2">
        <v>67</v>
      </c>
      <c r="B69" s="2">
        <v>0</v>
      </c>
      <c r="C69" s="2">
        <v>67</v>
      </c>
      <c r="D69" s="2" t="s">
        <v>33</v>
      </c>
      <c r="E69" s="2">
        <v>0</v>
      </c>
      <c r="F69" s="2">
        <v>1.4829890417167899</v>
      </c>
      <c r="G69" s="2" t="s">
        <v>34</v>
      </c>
      <c r="H69" s="2">
        <v>0</v>
      </c>
      <c r="I69" s="2">
        <v>67</v>
      </c>
      <c r="J69" s="2">
        <v>0</v>
      </c>
      <c r="K69" s="2">
        <v>67</v>
      </c>
      <c r="L69" s="2">
        <v>0</v>
      </c>
      <c r="M69" s="2">
        <v>172.261146125034</v>
      </c>
      <c r="P69" s="2">
        <v>172.24983079161001</v>
      </c>
      <c r="Q69" s="2">
        <v>172.261146125034</v>
      </c>
      <c r="R69" s="2">
        <v>173.26103887497399</v>
      </c>
      <c r="S69" s="2">
        <v>173.26103887497399</v>
      </c>
      <c r="T69" s="2">
        <v>174.74785379169001</v>
      </c>
      <c r="U69" s="2" t="s">
        <v>33</v>
      </c>
      <c r="V69" s="2">
        <v>0</v>
      </c>
      <c r="W69" s="2">
        <v>1.4829890417167899</v>
      </c>
      <c r="X69" s="2" t="s">
        <v>34</v>
      </c>
      <c r="Y69" s="2">
        <v>0</v>
      </c>
      <c r="Z69" s="2" t="s">
        <v>35</v>
      </c>
      <c r="AA69" s="2">
        <v>1</v>
      </c>
      <c r="AB69" s="2" t="s">
        <v>36</v>
      </c>
      <c r="AC69" s="2" t="s">
        <v>37</v>
      </c>
      <c r="AE69" s="2" t="s">
        <v>38</v>
      </c>
      <c r="AF69" s="2">
        <v>59.966074217912599</v>
      </c>
      <c r="AG69" s="2" t="s">
        <v>39</v>
      </c>
    </row>
    <row r="70" spans="1:33">
      <c r="A70" s="2">
        <v>68</v>
      </c>
      <c r="B70" s="2">
        <v>0</v>
      </c>
      <c r="C70" s="2">
        <v>68</v>
      </c>
      <c r="D70" s="2" t="s">
        <v>33</v>
      </c>
      <c r="E70" s="2">
        <v>1</v>
      </c>
      <c r="F70" s="2">
        <v>1.2757290833396799</v>
      </c>
      <c r="G70" s="2" t="s">
        <v>34</v>
      </c>
      <c r="H70" s="2">
        <v>-1</v>
      </c>
      <c r="I70" s="2">
        <v>68</v>
      </c>
      <c r="J70" s="2">
        <v>0</v>
      </c>
      <c r="K70" s="2">
        <v>68</v>
      </c>
      <c r="L70" s="2">
        <v>0</v>
      </c>
      <c r="M70" s="2">
        <v>174.761266416637</v>
      </c>
      <c r="P70" s="2">
        <v>174.748128791688</v>
      </c>
      <c r="Q70" s="2">
        <v>174.761266416637</v>
      </c>
      <c r="R70" s="2">
        <v>175.76125220838</v>
      </c>
      <c r="S70" s="2">
        <v>175.76125220838</v>
      </c>
      <c r="T70" s="2">
        <v>177.04980237502599</v>
      </c>
      <c r="U70" s="2" t="s">
        <v>33</v>
      </c>
      <c r="V70" s="2">
        <v>1</v>
      </c>
      <c r="W70" s="2">
        <v>1.2757290833396799</v>
      </c>
      <c r="X70" s="2" t="s">
        <v>34</v>
      </c>
      <c r="Y70" s="2">
        <v>-1</v>
      </c>
      <c r="Z70" s="2" t="s">
        <v>35</v>
      </c>
      <c r="AA70" s="2">
        <v>1</v>
      </c>
      <c r="AB70" s="2" t="s">
        <v>36</v>
      </c>
      <c r="AC70" s="2" t="s">
        <v>37</v>
      </c>
      <c r="AE70" s="2" t="s">
        <v>38</v>
      </c>
      <c r="AF70" s="2">
        <v>59.966074217912599</v>
      </c>
      <c r="AG70" s="2" t="s">
        <v>39</v>
      </c>
    </row>
    <row r="71" spans="1:33">
      <c r="A71" s="2">
        <v>69</v>
      </c>
      <c r="B71" s="2">
        <v>0</v>
      </c>
      <c r="C71" s="2">
        <v>69</v>
      </c>
      <c r="D71" s="2" t="s">
        <v>33</v>
      </c>
      <c r="E71" s="2">
        <v>0</v>
      </c>
      <c r="F71" s="2">
        <v>1.2679202916333401</v>
      </c>
      <c r="G71" s="2" t="s">
        <v>34</v>
      </c>
      <c r="H71" s="2">
        <v>0</v>
      </c>
      <c r="I71" s="2">
        <v>69</v>
      </c>
      <c r="J71" s="2">
        <v>0</v>
      </c>
      <c r="K71" s="2">
        <v>69</v>
      </c>
      <c r="L71" s="2">
        <v>0</v>
      </c>
      <c r="M71" s="2">
        <v>177.06110241671499</v>
      </c>
      <c r="P71" s="2">
        <v>177.050016916706</v>
      </c>
      <c r="Q71" s="2">
        <v>177.06110241671499</v>
      </c>
      <c r="R71" s="2">
        <v>178.06105379166499</v>
      </c>
      <c r="S71" s="2">
        <v>178.06105379166499</v>
      </c>
      <c r="T71" s="2">
        <v>179.33161329163701</v>
      </c>
      <c r="U71" s="2" t="s">
        <v>33</v>
      </c>
      <c r="V71" s="2">
        <v>0</v>
      </c>
      <c r="W71" s="2">
        <v>1.2679202916333401</v>
      </c>
      <c r="X71" s="2" t="s">
        <v>34</v>
      </c>
      <c r="Y71" s="2">
        <v>0</v>
      </c>
      <c r="Z71" s="2" t="s">
        <v>35</v>
      </c>
      <c r="AA71" s="2">
        <v>1</v>
      </c>
      <c r="AB71" s="2" t="s">
        <v>36</v>
      </c>
      <c r="AC71" s="2" t="s">
        <v>37</v>
      </c>
      <c r="AE71" s="2" t="s">
        <v>38</v>
      </c>
      <c r="AF71" s="2">
        <v>59.966074217912599</v>
      </c>
      <c r="AG71" s="2" t="s">
        <v>39</v>
      </c>
    </row>
    <row r="72" spans="1:33">
      <c r="A72" s="2">
        <v>70</v>
      </c>
      <c r="B72" s="2">
        <v>0</v>
      </c>
      <c r="C72" s="2">
        <v>70</v>
      </c>
      <c r="D72" s="2" t="s">
        <v>40</v>
      </c>
      <c r="E72" s="2">
        <v>1</v>
      </c>
      <c r="F72" s="2">
        <v>0.887539791641756</v>
      </c>
      <c r="G72" s="2" t="s">
        <v>34</v>
      </c>
      <c r="H72" s="2">
        <v>0</v>
      </c>
      <c r="I72" s="2">
        <v>70</v>
      </c>
      <c r="J72" s="2">
        <v>0</v>
      </c>
      <c r="K72" s="2">
        <v>70</v>
      </c>
      <c r="L72" s="2">
        <v>0</v>
      </c>
      <c r="M72" s="2">
        <v>179.34647208335801</v>
      </c>
      <c r="P72" s="2">
        <v>179.33183612499801</v>
      </c>
      <c r="Q72" s="2">
        <v>179.34647208335801</v>
      </c>
      <c r="R72" s="2">
        <v>180.34435891662699</v>
      </c>
      <c r="S72" s="2">
        <v>180.36117729160401</v>
      </c>
      <c r="T72" s="2">
        <v>181.25041787500899</v>
      </c>
      <c r="U72" s="2" t="s">
        <v>40</v>
      </c>
      <c r="V72" s="2">
        <v>1</v>
      </c>
      <c r="W72" s="2">
        <v>0.887539791641756</v>
      </c>
      <c r="X72" s="2" t="s">
        <v>34</v>
      </c>
      <c r="Y72" s="2">
        <v>0</v>
      </c>
      <c r="Z72" s="2" t="s">
        <v>35</v>
      </c>
      <c r="AA72" s="2">
        <v>1</v>
      </c>
      <c r="AB72" s="2" t="s">
        <v>36</v>
      </c>
      <c r="AC72" s="2" t="s">
        <v>37</v>
      </c>
      <c r="AE72" s="2" t="s">
        <v>38</v>
      </c>
      <c r="AF72" s="2">
        <v>59.966074217912599</v>
      </c>
      <c r="AG72" s="2" t="s">
        <v>39</v>
      </c>
    </row>
    <row r="73" spans="1:33">
      <c r="A73" s="2">
        <v>71</v>
      </c>
      <c r="B73" s="2">
        <v>0</v>
      </c>
      <c r="C73" s="2">
        <v>71</v>
      </c>
      <c r="D73" s="2" t="s">
        <v>40</v>
      </c>
      <c r="E73" s="2">
        <v>1</v>
      </c>
      <c r="F73" s="2">
        <v>1.0873161667259399</v>
      </c>
      <c r="G73" s="2" t="s">
        <v>34</v>
      </c>
      <c r="H73" s="2">
        <v>0</v>
      </c>
      <c r="I73" s="2">
        <v>71</v>
      </c>
      <c r="J73" s="2">
        <v>0</v>
      </c>
      <c r="K73" s="2">
        <v>71</v>
      </c>
      <c r="L73" s="2">
        <v>0</v>
      </c>
      <c r="M73" s="2">
        <v>181.26073533331501</v>
      </c>
      <c r="P73" s="2">
        <v>181.25086912501101</v>
      </c>
      <c r="Q73" s="2">
        <v>181.26073533331501</v>
      </c>
      <c r="R73" s="2">
        <v>182.26106779160901</v>
      </c>
      <c r="S73" s="2">
        <v>182.26106779160901</v>
      </c>
      <c r="T73" s="2">
        <v>183.367080874973</v>
      </c>
      <c r="U73" s="2" t="s">
        <v>40</v>
      </c>
      <c r="V73" s="2">
        <v>1</v>
      </c>
      <c r="W73" s="2">
        <v>1.0873161667259399</v>
      </c>
      <c r="X73" s="2" t="s">
        <v>34</v>
      </c>
      <c r="Y73" s="2">
        <v>0</v>
      </c>
      <c r="Z73" s="2" t="s">
        <v>35</v>
      </c>
      <c r="AA73" s="2">
        <v>1</v>
      </c>
      <c r="AB73" s="2" t="s">
        <v>36</v>
      </c>
      <c r="AC73" s="2" t="s">
        <v>37</v>
      </c>
      <c r="AE73" s="2" t="s">
        <v>38</v>
      </c>
      <c r="AF73" s="2">
        <v>59.966074217912599</v>
      </c>
      <c r="AG73" s="2" t="s">
        <v>39</v>
      </c>
    </row>
    <row r="74" spans="1:33">
      <c r="A74" s="2">
        <v>72</v>
      </c>
      <c r="B74" s="2">
        <v>0</v>
      </c>
      <c r="C74" s="2">
        <v>72</v>
      </c>
      <c r="D74" s="2" t="s">
        <v>40</v>
      </c>
      <c r="E74" s="2">
        <v>0</v>
      </c>
      <c r="F74" s="2">
        <v>0.61811770824715495</v>
      </c>
      <c r="G74" s="2" t="s">
        <v>34</v>
      </c>
      <c r="H74" s="2">
        <v>4</v>
      </c>
      <c r="I74" s="2">
        <v>72</v>
      </c>
      <c r="J74" s="2">
        <v>0</v>
      </c>
      <c r="K74" s="2">
        <v>72</v>
      </c>
      <c r="L74" s="2">
        <v>0</v>
      </c>
      <c r="M74" s="2">
        <v>183.37734441668701</v>
      </c>
      <c r="P74" s="2">
        <v>183.36736108327699</v>
      </c>
      <c r="Q74" s="2">
        <v>183.37734441668701</v>
      </c>
      <c r="R74" s="2">
        <v>184.37769304169299</v>
      </c>
      <c r="S74" s="2">
        <v>184.37769304169299</v>
      </c>
      <c r="T74" s="2">
        <v>184.998703208286</v>
      </c>
      <c r="U74" s="2" t="s">
        <v>40</v>
      </c>
      <c r="V74" s="2">
        <v>0</v>
      </c>
      <c r="W74" s="2">
        <v>0.61811770824715495</v>
      </c>
      <c r="X74" s="2" t="s">
        <v>34</v>
      </c>
      <c r="Y74" s="2">
        <v>4</v>
      </c>
      <c r="Z74" s="2" t="s">
        <v>35</v>
      </c>
      <c r="AA74" s="2">
        <v>1</v>
      </c>
      <c r="AB74" s="2" t="s">
        <v>36</v>
      </c>
      <c r="AC74" s="2" t="s">
        <v>37</v>
      </c>
      <c r="AE74" s="2" t="s">
        <v>38</v>
      </c>
      <c r="AF74" s="2">
        <v>59.966074217912599</v>
      </c>
      <c r="AG74" s="2" t="s">
        <v>39</v>
      </c>
    </row>
    <row r="75" spans="1:33">
      <c r="A75" s="2">
        <v>73</v>
      </c>
      <c r="B75" s="2">
        <v>0</v>
      </c>
      <c r="C75" s="2">
        <v>73</v>
      </c>
      <c r="D75" s="2" t="s">
        <v>33</v>
      </c>
      <c r="E75" s="2">
        <v>1</v>
      </c>
      <c r="F75" s="2">
        <v>1.87359554169233</v>
      </c>
      <c r="G75" s="2" t="s">
        <v>34</v>
      </c>
      <c r="H75" s="2">
        <v>2</v>
      </c>
      <c r="I75" s="2">
        <v>73</v>
      </c>
      <c r="J75" s="2">
        <v>0</v>
      </c>
      <c r="K75" s="2">
        <v>73</v>
      </c>
      <c r="L75" s="2">
        <v>0</v>
      </c>
      <c r="M75" s="2">
        <v>185.013059791643</v>
      </c>
      <c r="P75" s="2">
        <v>184.99896300002001</v>
      </c>
      <c r="Q75" s="2">
        <v>185.013059791643</v>
      </c>
      <c r="R75" s="2">
        <v>186.01111329160599</v>
      </c>
      <c r="S75" s="2">
        <v>186.027758666663</v>
      </c>
      <c r="T75" s="2">
        <v>187.898332708282</v>
      </c>
      <c r="U75" s="2" t="s">
        <v>33</v>
      </c>
      <c r="V75" s="2">
        <v>1</v>
      </c>
      <c r="W75" s="2">
        <v>1.87359554169233</v>
      </c>
      <c r="X75" s="2" t="s">
        <v>34</v>
      </c>
      <c r="Y75" s="2">
        <v>2</v>
      </c>
      <c r="Z75" s="2" t="s">
        <v>35</v>
      </c>
      <c r="AA75" s="2">
        <v>1</v>
      </c>
      <c r="AB75" s="2" t="s">
        <v>36</v>
      </c>
      <c r="AC75" s="2" t="s">
        <v>37</v>
      </c>
      <c r="AE75" s="2" t="s">
        <v>38</v>
      </c>
      <c r="AF75" s="2">
        <v>59.966074217912599</v>
      </c>
      <c r="AG75" s="2" t="s">
        <v>39</v>
      </c>
    </row>
    <row r="76" spans="1:33">
      <c r="A76" s="2">
        <v>74</v>
      </c>
      <c r="B76" s="2">
        <v>0</v>
      </c>
      <c r="C76" s="2">
        <v>74</v>
      </c>
      <c r="D76" s="2" t="s">
        <v>33</v>
      </c>
      <c r="E76" s="2">
        <v>1</v>
      </c>
      <c r="F76" s="2">
        <v>1.5499279999639799</v>
      </c>
      <c r="G76" s="2" t="s">
        <v>34</v>
      </c>
      <c r="H76" s="2">
        <v>-4</v>
      </c>
      <c r="I76" s="2">
        <v>74</v>
      </c>
      <c r="J76" s="2">
        <v>0</v>
      </c>
      <c r="K76" s="2">
        <v>74</v>
      </c>
      <c r="L76" s="2">
        <v>0</v>
      </c>
      <c r="M76" s="2">
        <v>187.91119870834501</v>
      </c>
      <c r="P76" s="2">
        <v>187.898584124981</v>
      </c>
      <c r="Q76" s="2">
        <v>187.91119870834501</v>
      </c>
      <c r="R76" s="2">
        <v>188.91105737502201</v>
      </c>
      <c r="S76" s="2">
        <v>188.91105737502201</v>
      </c>
      <c r="T76" s="2">
        <v>190.464736999943</v>
      </c>
      <c r="U76" s="2" t="s">
        <v>33</v>
      </c>
      <c r="V76" s="2">
        <v>1</v>
      </c>
      <c r="W76" s="2">
        <v>1.5499279999639799</v>
      </c>
      <c r="X76" s="2" t="s">
        <v>34</v>
      </c>
      <c r="Y76" s="2">
        <v>-4</v>
      </c>
      <c r="Z76" s="2" t="s">
        <v>35</v>
      </c>
      <c r="AA76" s="2">
        <v>1</v>
      </c>
      <c r="AB76" s="2" t="s">
        <v>36</v>
      </c>
      <c r="AC76" s="2" t="s">
        <v>37</v>
      </c>
      <c r="AE76" s="2" t="s">
        <v>38</v>
      </c>
      <c r="AF76" s="2">
        <v>59.966074217912599</v>
      </c>
      <c r="AG76" s="2" t="s">
        <v>39</v>
      </c>
    </row>
    <row r="77" spans="1:33">
      <c r="A77" s="2">
        <v>75</v>
      </c>
      <c r="B77" s="2">
        <v>0</v>
      </c>
      <c r="C77" s="2">
        <v>75</v>
      </c>
      <c r="D77" s="2" t="s">
        <v>33</v>
      </c>
      <c r="E77" s="2">
        <v>0</v>
      </c>
      <c r="F77" s="2">
        <v>0.995931499986909</v>
      </c>
      <c r="G77" s="2" t="s">
        <v>34</v>
      </c>
      <c r="H77" s="2">
        <v>0</v>
      </c>
      <c r="I77" s="2">
        <v>75</v>
      </c>
      <c r="J77" s="2">
        <v>0</v>
      </c>
      <c r="K77" s="2">
        <v>75</v>
      </c>
      <c r="L77" s="2">
        <v>0</v>
      </c>
      <c r="M77" s="2">
        <v>190.477644999977</v>
      </c>
      <c r="P77" s="2">
        <v>190.46495745831601</v>
      </c>
      <c r="Q77" s="2">
        <v>190.477644999977</v>
      </c>
      <c r="R77" s="2">
        <v>191.47774091665599</v>
      </c>
      <c r="S77" s="2">
        <v>191.47774091665599</v>
      </c>
      <c r="T77" s="2">
        <v>192.48253408330399</v>
      </c>
      <c r="U77" s="2" t="s">
        <v>33</v>
      </c>
      <c r="V77" s="2">
        <v>0</v>
      </c>
      <c r="W77" s="2">
        <v>0.995931499986909</v>
      </c>
      <c r="X77" s="2" t="s">
        <v>34</v>
      </c>
      <c r="Y77" s="2">
        <v>0</v>
      </c>
      <c r="Z77" s="2" t="s">
        <v>35</v>
      </c>
      <c r="AA77" s="2">
        <v>1</v>
      </c>
      <c r="AB77" s="2" t="s">
        <v>36</v>
      </c>
      <c r="AC77" s="2" t="s">
        <v>37</v>
      </c>
      <c r="AE77" s="2" t="s">
        <v>38</v>
      </c>
      <c r="AF77" s="2">
        <v>59.966074217912599</v>
      </c>
      <c r="AG77" s="2" t="s">
        <v>39</v>
      </c>
    </row>
    <row r="78" spans="1:33">
      <c r="A78" s="2">
        <v>76</v>
      </c>
      <c r="B78" s="2">
        <v>0</v>
      </c>
      <c r="C78" s="2">
        <v>76</v>
      </c>
      <c r="D78" s="2" t="s">
        <v>40</v>
      </c>
      <c r="E78" s="2">
        <v>0</v>
      </c>
      <c r="F78" s="2">
        <v>0.97209133324213304</v>
      </c>
      <c r="G78" s="2" t="s">
        <v>34</v>
      </c>
      <c r="H78" s="2">
        <v>-2</v>
      </c>
      <c r="I78" s="2">
        <v>76</v>
      </c>
      <c r="J78" s="2">
        <v>0</v>
      </c>
      <c r="K78" s="2">
        <v>76</v>
      </c>
      <c r="L78" s="2">
        <v>0</v>
      </c>
      <c r="M78" s="2">
        <v>192.494034791714</v>
      </c>
      <c r="P78" s="2">
        <v>192.48279941664001</v>
      </c>
      <c r="Q78" s="2">
        <v>192.494034791714</v>
      </c>
      <c r="R78" s="2">
        <v>193.49446299997999</v>
      </c>
      <c r="S78" s="2">
        <v>193.49446299997999</v>
      </c>
      <c r="T78" s="2">
        <v>194.482628583326</v>
      </c>
      <c r="U78" s="2" t="s">
        <v>40</v>
      </c>
      <c r="V78" s="2">
        <v>0</v>
      </c>
      <c r="W78" s="2">
        <v>0.97209133324213304</v>
      </c>
      <c r="X78" s="2" t="s">
        <v>34</v>
      </c>
      <c r="Y78" s="2">
        <v>-2</v>
      </c>
      <c r="Z78" s="2" t="s">
        <v>35</v>
      </c>
      <c r="AA78" s="2">
        <v>1</v>
      </c>
      <c r="AB78" s="2" t="s">
        <v>36</v>
      </c>
      <c r="AC78" s="2" t="s">
        <v>37</v>
      </c>
      <c r="AE78" s="2" t="s">
        <v>38</v>
      </c>
      <c r="AF78" s="2">
        <v>59.966074217912599</v>
      </c>
      <c r="AG78" s="2" t="s">
        <v>39</v>
      </c>
    </row>
    <row r="79" spans="1:33">
      <c r="A79" s="2">
        <v>77</v>
      </c>
      <c r="B79" s="2">
        <v>0</v>
      </c>
      <c r="C79" s="2">
        <v>77</v>
      </c>
      <c r="D79" s="2" t="s">
        <v>40</v>
      </c>
      <c r="E79" s="2">
        <v>1</v>
      </c>
      <c r="F79" s="2">
        <v>0.87530341662932099</v>
      </c>
      <c r="G79" s="2" t="s">
        <v>34</v>
      </c>
      <c r="H79" s="2">
        <v>0</v>
      </c>
      <c r="I79" s="2">
        <v>77</v>
      </c>
      <c r="J79" s="2">
        <v>0</v>
      </c>
      <c r="K79" s="2">
        <v>77</v>
      </c>
      <c r="L79" s="2">
        <v>0</v>
      </c>
      <c r="M79" s="2">
        <v>194.494370958302</v>
      </c>
      <c r="P79" s="2">
        <v>194.482847583363</v>
      </c>
      <c r="Q79" s="2">
        <v>194.494370958302</v>
      </c>
      <c r="R79" s="2">
        <v>195.494328666711</v>
      </c>
      <c r="S79" s="2">
        <v>195.494328666711</v>
      </c>
      <c r="T79" s="2">
        <v>196.38316604169</v>
      </c>
      <c r="U79" s="2" t="s">
        <v>40</v>
      </c>
      <c r="V79" s="2">
        <v>1</v>
      </c>
      <c r="W79" s="2">
        <v>0.87530341662932099</v>
      </c>
      <c r="X79" s="2" t="s">
        <v>34</v>
      </c>
      <c r="Y79" s="2">
        <v>0</v>
      </c>
      <c r="Z79" s="2" t="s">
        <v>35</v>
      </c>
      <c r="AA79" s="2">
        <v>1</v>
      </c>
      <c r="AB79" s="2" t="s">
        <v>36</v>
      </c>
      <c r="AC79" s="2" t="s">
        <v>37</v>
      </c>
      <c r="AE79" s="2" t="s">
        <v>38</v>
      </c>
      <c r="AF79" s="2">
        <v>59.966074217912599</v>
      </c>
      <c r="AG79" s="2" t="s">
        <v>39</v>
      </c>
    </row>
    <row r="80" spans="1:33">
      <c r="A80" s="2">
        <v>78</v>
      </c>
      <c r="B80" s="2">
        <v>0</v>
      </c>
      <c r="C80" s="2">
        <v>78</v>
      </c>
      <c r="D80" s="2" t="s">
        <v>33</v>
      </c>
      <c r="E80" s="2">
        <v>0</v>
      </c>
      <c r="F80" s="2">
        <v>1.0381843750365001</v>
      </c>
      <c r="G80" s="2" t="s">
        <v>34</v>
      </c>
      <c r="H80" s="2">
        <v>0</v>
      </c>
      <c r="I80" s="2">
        <v>78</v>
      </c>
      <c r="J80" s="2">
        <v>0</v>
      </c>
      <c r="K80" s="2">
        <v>78</v>
      </c>
      <c r="L80" s="2">
        <v>0</v>
      </c>
      <c r="M80" s="2">
        <v>196.39430762501399</v>
      </c>
      <c r="P80" s="2">
        <v>196.38340837496699</v>
      </c>
      <c r="Q80" s="2">
        <v>196.39430762501399</v>
      </c>
      <c r="R80" s="2">
        <v>197.39436875004299</v>
      </c>
      <c r="S80" s="2">
        <v>197.39436875004299</v>
      </c>
      <c r="T80" s="2">
        <v>198.449943374958</v>
      </c>
      <c r="U80" s="2" t="s">
        <v>33</v>
      </c>
      <c r="V80" s="2">
        <v>0</v>
      </c>
      <c r="W80" s="2">
        <v>1.0381843750365001</v>
      </c>
      <c r="X80" s="2" t="s">
        <v>34</v>
      </c>
      <c r="Y80" s="2">
        <v>0</v>
      </c>
      <c r="Z80" s="2" t="s">
        <v>35</v>
      </c>
      <c r="AA80" s="2">
        <v>1</v>
      </c>
      <c r="AB80" s="2" t="s">
        <v>36</v>
      </c>
      <c r="AC80" s="2" t="s">
        <v>37</v>
      </c>
      <c r="AE80" s="2" t="s">
        <v>38</v>
      </c>
      <c r="AF80" s="2">
        <v>59.966074217912599</v>
      </c>
      <c r="AG80" s="2" t="s">
        <v>39</v>
      </c>
    </row>
    <row r="81" spans="1:33">
      <c r="A81" s="2">
        <v>79</v>
      </c>
      <c r="B81" s="2">
        <v>0</v>
      </c>
      <c r="C81" s="2">
        <v>79</v>
      </c>
      <c r="D81" s="2" t="s">
        <v>33</v>
      </c>
      <c r="E81" s="2">
        <v>0</v>
      </c>
      <c r="F81" s="2">
        <v>0.88245400006417096</v>
      </c>
      <c r="G81" s="2" t="s">
        <v>34</v>
      </c>
      <c r="H81" s="2">
        <v>0</v>
      </c>
      <c r="I81" s="2">
        <v>79</v>
      </c>
      <c r="J81" s="2">
        <v>0</v>
      </c>
      <c r="K81" s="2">
        <v>79</v>
      </c>
      <c r="L81" s="2">
        <v>0</v>
      </c>
      <c r="M81" s="2">
        <v>198.46064075000999</v>
      </c>
      <c r="P81" s="2">
        <v>198.45015645830401</v>
      </c>
      <c r="Q81" s="2">
        <v>198.46064075000999</v>
      </c>
      <c r="R81" s="2">
        <v>199.46104920830101</v>
      </c>
      <c r="S81" s="2">
        <v>199.46104920830101</v>
      </c>
      <c r="T81" s="2">
        <v>200.34870512504099</v>
      </c>
      <c r="U81" s="2" t="s">
        <v>33</v>
      </c>
      <c r="V81" s="2">
        <v>0</v>
      </c>
      <c r="W81" s="2">
        <v>0.88245400006417096</v>
      </c>
      <c r="X81" s="2" t="s">
        <v>34</v>
      </c>
      <c r="Y81" s="2">
        <v>0</v>
      </c>
      <c r="Z81" s="2" t="s">
        <v>35</v>
      </c>
      <c r="AA81" s="2">
        <v>1</v>
      </c>
      <c r="AB81" s="2" t="s">
        <v>36</v>
      </c>
      <c r="AC81" s="2" t="s">
        <v>37</v>
      </c>
      <c r="AE81" s="2" t="s">
        <v>38</v>
      </c>
      <c r="AF81" s="2">
        <v>59.966074217912599</v>
      </c>
      <c r="AG81" s="2" t="s">
        <v>39</v>
      </c>
    </row>
    <row r="82" spans="1:33">
      <c r="A82" s="2">
        <v>80</v>
      </c>
      <c r="B82" s="2">
        <v>0</v>
      </c>
      <c r="C82" s="2">
        <v>80</v>
      </c>
      <c r="D82" s="2" t="s">
        <v>33</v>
      </c>
      <c r="E82" s="2">
        <v>1</v>
      </c>
      <c r="F82" s="2">
        <v>1.2583827499765901</v>
      </c>
      <c r="G82" s="2" t="s">
        <v>34</v>
      </c>
      <c r="H82" s="2">
        <v>-4</v>
      </c>
      <c r="I82" s="2">
        <v>80</v>
      </c>
      <c r="J82" s="2">
        <v>0</v>
      </c>
      <c r="K82" s="2">
        <v>80</v>
      </c>
      <c r="L82" s="2">
        <v>0</v>
      </c>
      <c r="M82" s="2">
        <v>200.36058962496401</v>
      </c>
      <c r="P82" s="2">
        <v>200.34898279164901</v>
      </c>
      <c r="Q82" s="2">
        <v>200.36058962496401</v>
      </c>
      <c r="R82" s="2">
        <v>201.36111079168001</v>
      </c>
      <c r="S82" s="2">
        <v>201.36111079168001</v>
      </c>
      <c r="T82" s="2">
        <v>202.635104166693</v>
      </c>
      <c r="U82" s="2" t="s">
        <v>33</v>
      </c>
      <c r="V82" s="2">
        <v>1</v>
      </c>
      <c r="W82" s="2">
        <v>1.2583827499765901</v>
      </c>
      <c r="X82" s="2" t="s">
        <v>34</v>
      </c>
      <c r="Y82" s="2">
        <v>-4</v>
      </c>
      <c r="Z82" s="2" t="s">
        <v>35</v>
      </c>
      <c r="AA82" s="2">
        <v>1</v>
      </c>
      <c r="AB82" s="2" t="s">
        <v>36</v>
      </c>
      <c r="AC82" s="2" t="s">
        <v>37</v>
      </c>
      <c r="AE82" s="2" t="s">
        <v>38</v>
      </c>
      <c r="AF82" s="2">
        <v>59.966074217912599</v>
      </c>
      <c r="AG82" s="2" t="s">
        <v>39</v>
      </c>
    </row>
    <row r="83" spans="1:33">
      <c r="A83" s="2">
        <v>81</v>
      </c>
      <c r="B83" s="2">
        <v>0</v>
      </c>
      <c r="C83" s="2">
        <v>81</v>
      </c>
      <c r="D83" s="2" t="s">
        <v>40</v>
      </c>
      <c r="E83" s="2">
        <v>0</v>
      </c>
      <c r="F83" s="2">
        <v>0.55496900004800398</v>
      </c>
      <c r="G83" s="2" t="s">
        <v>34</v>
      </c>
      <c r="H83" s="2">
        <v>3</v>
      </c>
      <c r="I83" s="2">
        <v>81</v>
      </c>
      <c r="J83" s="2">
        <v>0</v>
      </c>
      <c r="K83" s="2">
        <v>81</v>
      </c>
      <c r="L83" s="2">
        <v>0</v>
      </c>
      <c r="M83" s="2">
        <v>202.64399491669599</v>
      </c>
      <c r="P83" s="2">
        <v>202.63548408332201</v>
      </c>
      <c r="Q83" s="2">
        <v>202.64399491669599</v>
      </c>
      <c r="R83" s="2">
        <v>203.64442191668701</v>
      </c>
      <c r="S83" s="2">
        <v>203.64442191668701</v>
      </c>
      <c r="T83" s="2">
        <v>204.218429833301</v>
      </c>
      <c r="U83" s="2" t="s">
        <v>40</v>
      </c>
      <c r="V83" s="2">
        <v>0</v>
      </c>
      <c r="W83" s="2">
        <v>0.55496900004800398</v>
      </c>
      <c r="X83" s="2" t="s">
        <v>34</v>
      </c>
      <c r="Y83" s="2">
        <v>3</v>
      </c>
      <c r="Z83" s="2" t="s">
        <v>35</v>
      </c>
      <c r="AA83" s="2">
        <v>1</v>
      </c>
      <c r="AB83" s="2" t="s">
        <v>36</v>
      </c>
      <c r="AC83" s="2" t="s">
        <v>37</v>
      </c>
      <c r="AE83" s="2" t="s">
        <v>38</v>
      </c>
      <c r="AF83" s="2">
        <v>59.966074217912599</v>
      </c>
      <c r="AG83" s="2" t="s">
        <v>39</v>
      </c>
    </row>
    <row r="84" spans="1:33">
      <c r="A84" s="2">
        <v>82</v>
      </c>
      <c r="B84" s="2">
        <v>0</v>
      </c>
      <c r="C84" s="2">
        <v>82</v>
      </c>
      <c r="D84" s="2" t="s">
        <v>33</v>
      </c>
      <c r="E84" s="2">
        <v>1</v>
      </c>
      <c r="F84" s="2">
        <v>0.70056566665880304</v>
      </c>
      <c r="G84" s="2" t="s">
        <v>34</v>
      </c>
      <c r="H84" s="2">
        <v>1</v>
      </c>
      <c r="I84" s="2">
        <v>82</v>
      </c>
      <c r="J84" s="2">
        <v>0</v>
      </c>
      <c r="K84" s="2">
        <v>82</v>
      </c>
      <c r="L84" s="2">
        <v>0</v>
      </c>
      <c r="M84" s="2">
        <v>204.22734087495999</v>
      </c>
      <c r="P84" s="2">
        <v>204.218799749971</v>
      </c>
      <c r="Q84" s="2">
        <v>204.22734087495999</v>
      </c>
      <c r="R84" s="2">
        <v>205.22774799994599</v>
      </c>
      <c r="S84" s="2">
        <v>205.22774799994599</v>
      </c>
      <c r="T84" s="2">
        <v>205.932028916664</v>
      </c>
      <c r="U84" s="2" t="s">
        <v>33</v>
      </c>
      <c r="V84" s="2">
        <v>1</v>
      </c>
      <c r="W84" s="2">
        <v>0.70056566665880304</v>
      </c>
      <c r="X84" s="2" t="s">
        <v>34</v>
      </c>
      <c r="Y84" s="2">
        <v>1</v>
      </c>
      <c r="Z84" s="2" t="s">
        <v>35</v>
      </c>
      <c r="AA84" s="2">
        <v>1</v>
      </c>
      <c r="AB84" s="2" t="s">
        <v>36</v>
      </c>
      <c r="AC84" s="2" t="s">
        <v>37</v>
      </c>
      <c r="AE84" s="2" t="s">
        <v>38</v>
      </c>
      <c r="AF84" s="2">
        <v>59.966074217912599</v>
      </c>
      <c r="AG84" s="2" t="s">
        <v>39</v>
      </c>
    </row>
    <row r="85" spans="1:33">
      <c r="A85" s="2">
        <v>83</v>
      </c>
      <c r="B85" s="2">
        <v>0</v>
      </c>
      <c r="C85" s="2">
        <v>83</v>
      </c>
      <c r="D85" s="2" t="s">
        <v>40</v>
      </c>
      <c r="E85" s="2">
        <v>1</v>
      </c>
      <c r="F85" s="2">
        <v>0.81486695830244504</v>
      </c>
      <c r="G85" s="2" t="s">
        <v>34</v>
      </c>
      <c r="H85" s="2">
        <v>0</v>
      </c>
      <c r="I85" s="2">
        <v>83</v>
      </c>
      <c r="J85" s="2">
        <v>0</v>
      </c>
      <c r="K85" s="2">
        <v>83</v>
      </c>
      <c r="L85" s="2">
        <v>0</v>
      </c>
      <c r="M85" s="2">
        <v>205.94385762501</v>
      </c>
      <c r="P85" s="2">
        <v>205.932244666619</v>
      </c>
      <c r="Q85" s="2">
        <v>205.94385762501</v>
      </c>
      <c r="R85" s="2">
        <v>206.944419166655</v>
      </c>
      <c r="S85" s="2">
        <v>206.944419166655</v>
      </c>
      <c r="T85" s="2">
        <v>207.76562333328101</v>
      </c>
      <c r="U85" s="2" t="s">
        <v>40</v>
      </c>
      <c r="V85" s="2">
        <v>1</v>
      </c>
      <c r="W85" s="2">
        <v>0.81486695830244504</v>
      </c>
      <c r="X85" s="2" t="s">
        <v>34</v>
      </c>
      <c r="Y85" s="2">
        <v>0</v>
      </c>
      <c r="Z85" s="2" t="s">
        <v>35</v>
      </c>
      <c r="AA85" s="2">
        <v>1</v>
      </c>
      <c r="AB85" s="2" t="s">
        <v>36</v>
      </c>
      <c r="AC85" s="2" t="s">
        <v>37</v>
      </c>
      <c r="AE85" s="2" t="s">
        <v>38</v>
      </c>
      <c r="AF85" s="2">
        <v>59.966074217912599</v>
      </c>
      <c r="AG85" s="2" t="s">
        <v>39</v>
      </c>
    </row>
    <row r="86" spans="1:33">
      <c r="A86" s="2">
        <v>84</v>
      </c>
      <c r="B86" s="2">
        <v>0</v>
      </c>
      <c r="C86" s="2">
        <v>84</v>
      </c>
      <c r="D86" s="2" t="s">
        <v>33</v>
      </c>
      <c r="E86" s="2">
        <v>0</v>
      </c>
      <c r="F86" s="2">
        <v>0.57772970828227699</v>
      </c>
      <c r="G86" s="2" t="s">
        <v>34</v>
      </c>
      <c r="H86" s="2">
        <v>0</v>
      </c>
      <c r="I86" s="2">
        <v>84</v>
      </c>
      <c r="J86" s="2">
        <v>0</v>
      </c>
      <c r="K86" s="2">
        <v>84</v>
      </c>
      <c r="L86" s="2">
        <v>0</v>
      </c>
      <c r="M86" s="2">
        <v>207.777245166711</v>
      </c>
      <c r="P86" s="2">
        <v>207.76583937497301</v>
      </c>
      <c r="Q86" s="2">
        <v>207.777245166711</v>
      </c>
      <c r="R86" s="2">
        <v>208.777620624983</v>
      </c>
      <c r="S86" s="2">
        <v>208.777620624983</v>
      </c>
      <c r="T86" s="2">
        <v>209.36601633334001</v>
      </c>
      <c r="U86" s="2" t="s">
        <v>33</v>
      </c>
      <c r="V86" s="2">
        <v>0</v>
      </c>
      <c r="W86" s="2">
        <v>0.57772970828227699</v>
      </c>
      <c r="X86" s="2" t="s">
        <v>34</v>
      </c>
      <c r="Y86" s="2">
        <v>0</v>
      </c>
      <c r="Z86" s="2" t="s">
        <v>35</v>
      </c>
      <c r="AA86" s="2">
        <v>1</v>
      </c>
      <c r="AB86" s="2" t="s">
        <v>36</v>
      </c>
      <c r="AC86" s="2" t="s">
        <v>37</v>
      </c>
      <c r="AE86" s="2" t="s">
        <v>38</v>
      </c>
      <c r="AF86" s="2">
        <v>59.966074217912599</v>
      </c>
      <c r="AG86" s="2" t="s">
        <v>39</v>
      </c>
    </row>
    <row r="87" spans="1:33">
      <c r="A87" s="2">
        <v>85</v>
      </c>
      <c r="B87" s="2">
        <v>0</v>
      </c>
      <c r="C87" s="2">
        <v>85</v>
      </c>
      <c r="D87" s="2" t="s">
        <v>40</v>
      </c>
      <c r="E87" s="2">
        <v>1</v>
      </c>
      <c r="F87" s="2">
        <v>0.639732499956153</v>
      </c>
      <c r="G87" s="2" t="s">
        <v>34</v>
      </c>
      <c r="H87" s="2">
        <v>0</v>
      </c>
      <c r="I87" s="2">
        <v>85</v>
      </c>
      <c r="J87" s="2">
        <v>0</v>
      </c>
      <c r="K87" s="2">
        <v>85</v>
      </c>
      <c r="L87" s="2">
        <v>0</v>
      </c>
      <c r="M87" s="2">
        <v>209.37725508329399</v>
      </c>
      <c r="P87" s="2">
        <v>209.366259208298</v>
      </c>
      <c r="Q87" s="2">
        <v>209.37725508329399</v>
      </c>
      <c r="R87" s="2">
        <v>210.377568458323</v>
      </c>
      <c r="S87" s="2">
        <v>210.377568458323</v>
      </c>
      <c r="T87" s="2">
        <v>211.032652750029</v>
      </c>
      <c r="U87" s="2" t="s">
        <v>40</v>
      </c>
      <c r="V87" s="2">
        <v>1</v>
      </c>
      <c r="W87" s="2">
        <v>0.639732499956153</v>
      </c>
      <c r="X87" s="2" t="s">
        <v>34</v>
      </c>
      <c r="Y87" s="2">
        <v>0</v>
      </c>
      <c r="Z87" s="2" t="s">
        <v>35</v>
      </c>
      <c r="AA87" s="2">
        <v>1</v>
      </c>
      <c r="AB87" s="2" t="s">
        <v>36</v>
      </c>
      <c r="AC87" s="2" t="s">
        <v>37</v>
      </c>
      <c r="AE87" s="2" t="s">
        <v>38</v>
      </c>
      <c r="AF87" s="2">
        <v>59.966074217912599</v>
      </c>
      <c r="AG87" s="2" t="s">
        <v>39</v>
      </c>
    </row>
    <row r="88" spans="1:33">
      <c r="A88" s="2">
        <v>86</v>
      </c>
      <c r="B88" s="2">
        <v>0</v>
      </c>
      <c r="C88" s="2">
        <v>86</v>
      </c>
      <c r="D88" s="2" t="s">
        <v>33</v>
      </c>
      <c r="E88" s="2">
        <v>0</v>
      </c>
      <c r="F88" s="2">
        <v>0.61385149997659005</v>
      </c>
      <c r="G88" s="2" t="s">
        <v>34</v>
      </c>
      <c r="H88" s="2">
        <v>0</v>
      </c>
      <c r="I88" s="2">
        <v>86</v>
      </c>
      <c r="J88" s="2">
        <v>0</v>
      </c>
      <c r="K88" s="2">
        <v>86</v>
      </c>
      <c r="L88" s="2">
        <v>0</v>
      </c>
      <c r="M88" s="2">
        <v>211.04434579168401</v>
      </c>
      <c r="P88" s="2">
        <v>211.03286895831101</v>
      </c>
      <c r="Q88" s="2">
        <v>211.04434579168401</v>
      </c>
      <c r="R88" s="2">
        <v>212.04441516671699</v>
      </c>
      <c r="S88" s="2">
        <v>212.04441516671699</v>
      </c>
      <c r="T88" s="2">
        <v>212.664012250024</v>
      </c>
      <c r="U88" s="2" t="s">
        <v>33</v>
      </c>
      <c r="V88" s="2">
        <v>0</v>
      </c>
      <c r="W88" s="2">
        <v>0.61385149997659005</v>
      </c>
      <c r="X88" s="2" t="s">
        <v>34</v>
      </c>
      <c r="Y88" s="2">
        <v>0</v>
      </c>
      <c r="Z88" s="2" t="s">
        <v>35</v>
      </c>
      <c r="AA88" s="2">
        <v>1</v>
      </c>
      <c r="AB88" s="2" t="s">
        <v>36</v>
      </c>
      <c r="AC88" s="2" t="s">
        <v>37</v>
      </c>
      <c r="AE88" s="2" t="s">
        <v>38</v>
      </c>
      <c r="AF88" s="2">
        <v>59.966074217912599</v>
      </c>
      <c r="AG88" s="2" t="s">
        <v>39</v>
      </c>
    </row>
    <row r="89" spans="1:33">
      <c r="A89" s="2">
        <v>87</v>
      </c>
      <c r="B89" s="2">
        <v>0</v>
      </c>
      <c r="C89" s="2">
        <v>87</v>
      </c>
      <c r="D89" s="2" t="s">
        <v>40</v>
      </c>
      <c r="E89" s="2">
        <v>0</v>
      </c>
      <c r="F89" s="2">
        <v>0.72957520838826895</v>
      </c>
      <c r="G89" s="2" t="s">
        <v>34</v>
      </c>
      <c r="H89" s="2">
        <v>-1</v>
      </c>
      <c r="I89" s="2">
        <v>87</v>
      </c>
      <c r="J89" s="2">
        <v>0</v>
      </c>
      <c r="K89" s="2">
        <v>87</v>
      </c>
      <c r="L89" s="2">
        <v>0</v>
      </c>
      <c r="M89" s="2">
        <v>212.67769287503299</v>
      </c>
      <c r="P89" s="2">
        <v>212.66426800005101</v>
      </c>
      <c r="Q89" s="2">
        <v>212.67769287503299</v>
      </c>
      <c r="R89" s="2">
        <v>213.67760879162199</v>
      </c>
      <c r="S89" s="2">
        <v>213.67760879162199</v>
      </c>
      <c r="T89" s="2">
        <v>214.41586262499899</v>
      </c>
      <c r="U89" s="2" t="s">
        <v>40</v>
      </c>
      <c r="V89" s="2">
        <v>0</v>
      </c>
      <c r="W89" s="2">
        <v>0.72957520838826895</v>
      </c>
      <c r="X89" s="2" t="s">
        <v>34</v>
      </c>
      <c r="Y89" s="2">
        <v>-1</v>
      </c>
      <c r="Z89" s="2" t="s">
        <v>35</v>
      </c>
      <c r="AA89" s="2">
        <v>1</v>
      </c>
      <c r="AB89" s="2" t="s">
        <v>36</v>
      </c>
      <c r="AC89" s="2" t="s">
        <v>37</v>
      </c>
      <c r="AE89" s="2" t="s">
        <v>38</v>
      </c>
      <c r="AF89" s="2">
        <v>59.966074217912599</v>
      </c>
      <c r="AG89" s="2" t="s">
        <v>39</v>
      </c>
    </row>
    <row r="90" spans="1:33">
      <c r="A90" s="2">
        <v>88</v>
      </c>
      <c r="B90" s="2">
        <v>0</v>
      </c>
      <c r="C90" s="2">
        <v>88</v>
      </c>
      <c r="D90" s="2" t="s">
        <v>40</v>
      </c>
      <c r="E90" s="2">
        <v>0</v>
      </c>
      <c r="F90" s="2">
        <v>0.83340274996589803</v>
      </c>
      <c r="G90" s="2" t="s">
        <v>34</v>
      </c>
      <c r="H90" s="2">
        <v>-2</v>
      </c>
      <c r="I90" s="2">
        <v>88</v>
      </c>
      <c r="J90" s="2">
        <v>0</v>
      </c>
      <c r="K90" s="2">
        <v>88</v>
      </c>
      <c r="L90" s="2">
        <v>0</v>
      </c>
      <c r="M90" s="2">
        <v>214.427370999939</v>
      </c>
      <c r="P90" s="2">
        <v>214.416065416648</v>
      </c>
      <c r="Q90" s="2">
        <v>214.427370999939</v>
      </c>
      <c r="R90" s="2">
        <v>215.427651833277</v>
      </c>
      <c r="S90" s="2">
        <v>215.427651833277</v>
      </c>
      <c r="T90" s="2">
        <v>216.26534649997399</v>
      </c>
      <c r="U90" s="2" t="s">
        <v>40</v>
      </c>
      <c r="V90" s="2">
        <v>0</v>
      </c>
      <c r="W90" s="2">
        <v>0.83340274996589803</v>
      </c>
      <c r="X90" s="2" t="s">
        <v>34</v>
      </c>
      <c r="Y90" s="2">
        <v>-2</v>
      </c>
      <c r="Z90" s="2" t="s">
        <v>35</v>
      </c>
      <c r="AA90" s="2">
        <v>1</v>
      </c>
      <c r="AB90" s="2" t="s">
        <v>36</v>
      </c>
      <c r="AC90" s="2" t="s">
        <v>37</v>
      </c>
      <c r="AE90" s="2" t="s">
        <v>38</v>
      </c>
      <c r="AF90" s="2">
        <v>59.966074217912599</v>
      </c>
      <c r="AG90" s="2" t="s">
        <v>39</v>
      </c>
    </row>
    <row r="91" spans="1:33">
      <c r="A91" s="2">
        <v>89</v>
      </c>
      <c r="B91" s="2">
        <v>0</v>
      </c>
      <c r="C91" s="2">
        <v>89</v>
      </c>
      <c r="D91" s="2" t="s">
        <v>40</v>
      </c>
      <c r="E91" s="2">
        <v>1</v>
      </c>
      <c r="F91" s="2">
        <v>0.83132170827593599</v>
      </c>
      <c r="G91" s="2" t="s">
        <v>34</v>
      </c>
      <c r="H91" s="2">
        <v>0</v>
      </c>
      <c r="I91" s="2">
        <v>89</v>
      </c>
      <c r="J91" s="2">
        <v>0</v>
      </c>
      <c r="K91" s="2">
        <v>89</v>
      </c>
      <c r="L91" s="2">
        <v>0</v>
      </c>
      <c r="M91" s="2">
        <v>216.27732104167799</v>
      </c>
      <c r="P91" s="2">
        <v>216.26560729171601</v>
      </c>
      <c r="Q91" s="2">
        <v>216.27732104167799</v>
      </c>
      <c r="R91" s="2">
        <v>217.27777591661999</v>
      </c>
      <c r="S91" s="2">
        <v>217.27777591661999</v>
      </c>
      <c r="T91" s="2">
        <v>218.115548083325</v>
      </c>
      <c r="U91" s="2" t="s">
        <v>40</v>
      </c>
      <c r="V91" s="2">
        <v>1</v>
      </c>
      <c r="W91" s="2">
        <v>0.83132170827593599</v>
      </c>
      <c r="X91" s="2" t="s">
        <v>34</v>
      </c>
      <c r="Y91" s="2">
        <v>0</v>
      </c>
      <c r="Z91" s="2" t="s">
        <v>35</v>
      </c>
      <c r="AA91" s="2">
        <v>1</v>
      </c>
      <c r="AB91" s="2" t="s">
        <v>36</v>
      </c>
      <c r="AC91" s="2" t="s">
        <v>37</v>
      </c>
      <c r="AE91" s="2" t="s">
        <v>38</v>
      </c>
      <c r="AF91" s="2">
        <v>59.966074217912599</v>
      </c>
      <c r="AG91" s="2" t="s">
        <v>39</v>
      </c>
    </row>
    <row r="92" spans="1:33">
      <c r="A92" s="2">
        <v>90</v>
      </c>
      <c r="B92" s="2">
        <v>0</v>
      </c>
      <c r="C92" s="2">
        <v>90</v>
      </c>
      <c r="D92" s="2" t="s">
        <v>40</v>
      </c>
      <c r="E92" s="2">
        <v>0</v>
      </c>
      <c r="F92" s="2">
        <v>0.750523541704751</v>
      </c>
      <c r="G92" s="2" t="s">
        <v>34</v>
      </c>
      <c r="H92" s="2">
        <v>2</v>
      </c>
      <c r="I92" s="2">
        <v>90</v>
      </c>
      <c r="J92" s="2">
        <v>0</v>
      </c>
      <c r="K92" s="2">
        <v>90</v>
      </c>
      <c r="L92" s="2">
        <v>0</v>
      </c>
      <c r="M92" s="2">
        <v>218.12733449996401</v>
      </c>
      <c r="P92" s="2">
        <v>218.11580483335999</v>
      </c>
      <c r="Q92" s="2">
        <v>218.12733449996401</v>
      </c>
      <c r="R92" s="2">
        <v>219.12776958337</v>
      </c>
      <c r="S92" s="2">
        <v>219.12776958337</v>
      </c>
      <c r="T92" s="2">
        <v>219.88185899995699</v>
      </c>
      <c r="U92" s="2" t="s">
        <v>40</v>
      </c>
      <c r="V92" s="2">
        <v>0</v>
      </c>
      <c r="W92" s="2">
        <v>0.750523541704751</v>
      </c>
      <c r="X92" s="2" t="s">
        <v>34</v>
      </c>
      <c r="Y92" s="2">
        <v>2</v>
      </c>
      <c r="Z92" s="2" t="s">
        <v>35</v>
      </c>
      <c r="AA92" s="2">
        <v>1</v>
      </c>
      <c r="AB92" s="2" t="s">
        <v>36</v>
      </c>
      <c r="AC92" s="2" t="s">
        <v>37</v>
      </c>
      <c r="AE92" s="2" t="s">
        <v>38</v>
      </c>
      <c r="AF92" s="2">
        <v>59.966074217912599</v>
      </c>
      <c r="AG92" s="2" t="s">
        <v>39</v>
      </c>
    </row>
    <row r="93" spans="1:33">
      <c r="A93" s="2">
        <v>91</v>
      </c>
      <c r="B93" s="2">
        <v>0</v>
      </c>
      <c r="C93" s="2">
        <v>91</v>
      </c>
      <c r="D93" s="2" t="s">
        <v>33</v>
      </c>
      <c r="E93" s="2">
        <v>1</v>
      </c>
      <c r="F93" s="2">
        <v>0.86786220839712702</v>
      </c>
      <c r="G93" s="2" t="s">
        <v>34</v>
      </c>
      <c r="H93" s="2">
        <v>-4</v>
      </c>
      <c r="I93" s="2">
        <v>91</v>
      </c>
      <c r="J93" s="2">
        <v>0</v>
      </c>
      <c r="K93" s="2">
        <v>91</v>
      </c>
      <c r="L93" s="2">
        <v>0</v>
      </c>
      <c r="M93" s="2">
        <v>219.89678299997399</v>
      </c>
      <c r="P93" s="2">
        <v>219.882122166687</v>
      </c>
      <c r="Q93" s="2">
        <v>219.89678299997399</v>
      </c>
      <c r="R93" s="2">
        <v>220.894281291635</v>
      </c>
      <c r="S93" s="2">
        <v>220.91091433330399</v>
      </c>
      <c r="T93" s="2">
        <v>221.76357070833899</v>
      </c>
      <c r="U93" s="2" t="s">
        <v>33</v>
      </c>
      <c r="V93" s="2">
        <v>1</v>
      </c>
      <c r="W93" s="2">
        <v>0.86786220839712702</v>
      </c>
      <c r="X93" s="2" t="s">
        <v>34</v>
      </c>
      <c r="Y93" s="2">
        <v>-4</v>
      </c>
      <c r="Z93" s="2" t="s">
        <v>35</v>
      </c>
      <c r="AA93" s="2">
        <v>1</v>
      </c>
      <c r="AB93" s="2" t="s">
        <v>36</v>
      </c>
      <c r="AC93" s="2" t="s">
        <v>37</v>
      </c>
      <c r="AE93" s="2" t="s">
        <v>38</v>
      </c>
      <c r="AF93" s="2">
        <v>59.966074217912599</v>
      </c>
      <c r="AG93" s="2" t="s">
        <v>39</v>
      </c>
    </row>
    <row r="94" spans="1:33">
      <c r="A94" s="2">
        <v>92</v>
      </c>
      <c r="B94" s="2">
        <v>0</v>
      </c>
      <c r="C94" s="2">
        <v>92</v>
      </c>
      <c r="D94" s="2" t="s">
        <v>33</v>
      </c>
      <c r="E94" s="2">
        <v>0</v>
      </c>
      <c r="F94" s="2">
        <v>0.80020395829342295</v>
      </c>
      <c r="G94" s="2" t="s">
        <v>34</v>
      </c>
      <c r="H94" s="2">
        <v>0</v>
      </c>
      <c r="I94" s="2">
        <v>92</v>
      </c>
      <c r="J94" s="2">
        <v>0</v>
      </c>
      <c r="K94" s="2">
        <v>92</v>
      </c>
      <c r="L94" s="2">
        <v>0</v>
      </c>
      <c r="M94" s="2">
        <v>221.77947666670599</v>
      </c>
      <c r="P94" s="2">
        <v>221.763827749993</v>
      </c>
      <c r="Q94" s="2">
        <v>221.77947666670599</v>
      </c>
      <c r="R94" s="2">
        <v>222.77774924994401</v>
      </c>
      <c r="S94" s="2">
        <v>222.79414120828699</v>
      </c>
      <c r="T94" s="2">
        <v>223.58188850001801</v>
      </c>
      <c r="U94" s="2" t="s">
        <v>33</v>
      </c>
      <c r="V94" s="2">
        <v>0</v>
      </c>
      <c r="W94" s="2">
        <v>0.80020395829342295</v>
      </c>
      <c r="X94" s="2" t="s">
        <v>34</v>
      </c>
      <c r="Y94" s="2">
        <v>0</v>
      </c>
      <c r="Z94" s="2" t="s">
        <v>35</v>
      </c>
      <c r="AA94" s="2">
        <v>1</v>
      </c>
      <c r="AB94" s="2" t="s">
        <v>36</v>
      </c>
      <c r="AC94" s="2" t="s">
        <v>37</v>
      </c>
      <c r="AE94" s="2" t="s">
        <v>38</v>
      </c>
      <c r="AF94" s="2">
        <v>59.966074217912599</v>
      </c>
      <c r="AG94" s="2" t="s">
        <v>39</v>
      </c>
    </row>
    <row r="95" spans="1:33">
      <c r="A95" s="2">
        <v>93</v>
      </c>
      <c r="B95" s="2">
        <v>0</v>
      </c>
      <c r="C95" s="2">
        <v>93</v>
      </c>
      <c r="D95" s="2" t="s">
        <v>33</v>
      </c>
      <c r="E95" s="2">
        <v>0</v>
      </c>
      <c r="F95" s="2">
        <v>0.61060220829676803</v>
      </c>
      <c r="G95" s="2" t="s">
        <v>34</v>
      </c>
      <c r="H95" s="2">
        <v>0</v>
      </c>
      <c r="I95" s="2">
        <v>93</v>
      </c>
      <c r="J95" s="2">
        <v>0</v>
      </c>
      <c r="K95" s="2">
        <v>93</v>
      </c>
      <c r="L95" s="2">
        <v>0</v>
      </c>
      <c r="M95" s="2">
        <v>223.593957666656</v>
      </c>
      <c r="P95" s="2">
        <v>223.58215449994799</v>
      </c>
      <c r="Q95" s="2">
        <v>223.593957666656</v>
      </c>
      <c r="R95" s="2">
        <v>224.59433820832001</v>
      </c>
      <c r="S95" s="2">
        <v>224.59433820832001</v>
      </c>
      <c r="T95" s="2">
        <v>225.216629541711</v>
      </c>
      <c r="U95" s="2" t="s">
        <v>33</v>
      </c>
      <c r="V95" s="2">
        <v>0</v>
      </c>
      <c r="W95" s="2">
        <v>0.61060220829676803</v>
      </c>
      <c r="X95" s="2" t="s">
        <v>34</v>
      </c>
      <c r="Y95" s="2">
        <v>0</v>
      </c>
      <c r="Z95" s="2" t="s">
        <v>35</v>
      </c>
      <c r="AA95" s="2">
        <v>1</v>
      </c>
      <c r="AB95" s="2" t="s">
        <v>36</v>
      </c>
      <c r="AC95" s="2" t="s">
        <v>37</v>
      </c>
      <c r="AE95" s="2" t="s">
        <v>38</v>
      </c>
      <c r="AF95" s="2">
        <v>59.966074217912599</v>
      </c>
      <c r="AG95" s="2" t="s">
        <v>39</v>
      </c>
    </row>
    <row r="96" spans="1:33">
      <c r="A96" s="2">
        <v>94</v>
      </c>
      <c r="B96" s="2">
        <v>0</v>
      </c>
      <c r="C96" s="2">
        <v>94</v>
      </c>
      <c r="D96" s="2" t="s">
        <v>33</v>
      </c>
      <c r="E96" s="2">
        <v>1</v>
      </c>
      <c r="F96" s="2">
        <v>1.3061171249719301</v>
      </c>
      <c r="G96" s="2" t="s">
        <v>34</v>
      </c>
      <c r="H96" s="2">
        <v>-5</v>
      </c>
      <c r="I96" s="2">
        <v>94</v>
      </c>
      <c r="J96" s="2">
        <v>0</v>
      </c>
      <c r="K96" s="2">
        <v>94</v>
      </c>
      <c r="L96" s="2">
        <v>0</v>
      </c>
      <c r="M96" s="2">
        <v>225.227199916611</v>
      </c>
      <c r="P96" s="2">
        <v>225.216882083332</v>
      </c>
      <c r="Q96" s="2">
        <v>225.227199916611</v>
      </c>
      <c r="R96" s="2">
        <v>226.227720999973</v>
      </c>
      <c r="S96" s="2">
        <v>226.227720999973</v>
      </c>
      <c r="T96" s="2">
        <v>227.550487208296</v>
      </c>
      <c r="U96" s="2" t="s">
        <v>33</v>
      </c>
      <c r="V96" s="2">
        <v>1</v>
      </c>
      <c r="W96" s="2">
        <v>1.3061171249719301</v>
      </c>
      <c r="X96" s="2" t="s">
        <v>34</v>
      </c>
      <c r="Y96" s="2">
        <v>-5</v>
      </c>
      <c r="Z96" s="2" t="s">
        <v>35</v>
      </c>
      <c r="AA96" s="2">
        <v>1</v>
      </c>
      <c r="AB96" s="2" t="s">
        <v>36</v>
      </c>
      <c r="AC96" s="2" t="s">
        <v>37</v>
      </c>
      <c r="AE96" s="2" t="s">
        <v>38</v>
      </c>
      <c r="AF96" s="2">
        <v>59.966074217912599</v>
      </c>
      <c r="AG96" s="2" t="s">
        <v>39</v>
      </c>
    </row>
    <row r="97" spans="1:33">
      <c r="A97" s="2">
        <v>95</v>
      </c>
      <c r="B97" s="2">
        <v>0</v>
      </c>
      <c r="C97" s="2">
        <v>95</v>
      </c>
      <c r="D97" s="2" t="s">
        <v>33</v>
      </c>
      <c r="E97" s="2">
        <v>1</v>
      </c>
      <c r="F97" s="2">
        <v>0.77682620822451998</v>
      </c>
      <c r="G97" s="2" t="s">
        <v>34</v>
      </c>
      <c r="H97" s="2">
        <v>2</v>
      </c>
      <c r="I97" s="2">
        <v>95</v>
      </c>
      <c r="J97" s="2">
        <v>0</v>
      </c>
      <c r="K97" s="2">
        <v>95</v>
      </c>
      <c r="L97" s="2">
        <v>0</v>
      </c>
      <c r="M97" s="2">
        <v>227.560485541704</v>
      </c>
      <c r="P97" s="2">
        <v>227.55084562499499</v>
      </c>
      <c r="Q97" s="2">
        <v>227.560485541704</v>
      </c>
      <c r="R97" s="2">
        <v>228.56105183332599</v>
      </c>
      <c r="S97" s="2">
        <v>228.56105183332599</v>
      </c>
      <c r="T97" s="2">
        <v>229.34878424997399</v>
      </c>
      <c r="U97" s="2" t="s">
        <v>33</v>
      </c>
      <c r="V97" s="2">
        <v>1</v>
      </c>
      <c r="W97" s="2">
        <v>0.77682620822451998</v>
      </c>
      <c r="X97" s="2" t="s">
        <v>34</v>
      </c>
      <c r="Y97" s="2">
        <v>2</v>
      </c>
      <c r="Z97" s="2" t="s">
        <v>35</v>
      </c>
      <c r="AA97" s="2">
        <v>1</v>
      </c>
      <c r="AB97" s="2" t="s">
        <v>36</v>
      </c>
      <c r="AC97" s="2" t="s">
        <v>37</v>
      </c>
      <c r="AE97" s="2" t="s">
        <v>38</v>
      </c>
      <c r="AF97" s="2">
        <v>59.966074217912599</v>
      </c>
      <c r="AG97" s="2" t="s">
        <v>39</v>
      </c>
    </row>
    <row r="98" spans="1:33">
      <c r="A98" s="2">
        <v>96</v>
      </c>
      <c r="B98" s="2">
        <v>0</v>
      </c>
      <c r="C98" s="2">
        <v>96</v>
      </c>
      <c r="D98" s="2" t="s">
        <v>33</v>
      </c>
      <c r="E98" s="2">
        <v>0</v>
      </c>
      <c r="F98" s="2">
        <v>1.49077045824378</v>
      </c>
      <c r="G98" s="2" t="s">
        <v>34</v>
      </c>
      <c r="H98" s="2">
        <v>0</v>
      </c>
      <c r="I98" s="2">
        <v>96</v>
      </c>
      <c r="J98" s="2">
        <v>0</v>
      </c>
      <c r="K98" s="2">
        <v>96</v>
      </c>
      <c r="L98" s="2">
        <v>0</v>
      </c>
      <c r="M98" s="2">
        <v>229.36094083334299</v>
      </c>
      <c r="P98" s="2">
        <v>229.348993333289</v>
      </c>
      <c r="Q98" s="2">
        <v>229.36094083334299</v>
      </c>
      <c r="R98" s="2">
        <v>230.36104033328499</v>
      </c>
      <c r="S98" s="2">
        <v>230.36104033328499</v>
      </c>
      <c r="T98" s="2">
        <v>231.86650708329299</v>
      </c>
      <c r="U98" s="2" t="s">
        <v>33</v>
      </c>
      <c r="V98" s="2">
        <v>0</v>
      </c>
      <c r="W98" s="2">
        <v>1.49077045824378</v>
      </c>
      <c r="X98" s="2" t="s">
        <v>34</v>
      </c>
      <c r="Y98" s="2">
        <v>0</v>
      </c>
      <c r="Z98" s="2" t="s">
        <v>35</v>
      </c>
      <c r="AA98" s="2">
        <v>1</v>
      </c>
      <c r="AB98" s="2" t="s">
        <v>36</v>
      </c>
      <c r="AC98" s="2" t="s">
        <v>37</v>
      </c>
      <c r="AE98" s="2" t="s">
        <v>38</v>
      </c>
      <c r="AF98" s="2">
        <v>59.966074217912599</v>
      </c>
      <c r="AG98" s="2" t="s">
        <v>39</v>
      </c>
    </row>
    <row r="99" spans="1:33">
      <c r="A99" s="2">
        <v>97</v>
      </c>
      <c r="B99" s="2">
        <v>0</v>
      </c>
      <c r="C99" s="2">
        <v>97</v>
      </c>
      <c r="D99" s="2" t="s">
        <v>40</v>
      </c>
      <c r="E99" s="2">
        <v>1</v>
      </c>
      <c r="F99" s="2">
        <v>0.87809133343398504</v>
      </c>
      <c r="G99" s="2" t="s">
        <v>34</v>
      </c>
      <c r="H99" s="2">
        <v>0</v>
      </c>
      <c r="I99" s="2">
        <v>97</v>
      </c>
      <c r="J99" s="2">
        <v>0</v>
      </c>
      <c r="K99" s="2">
        <v>97</v>
      </c>
      <c r="L99" s="2">
        <v>0</v>
      </c>
      <c r="M99" s="2">
        <v>231.877231291611</v>
      </c>
      <c r="P99" s="2">
        <v>231.866755625</v>
      </c>
      <c r="Q99" s="2">
        <v>231.877231291611</v>
      </c>
      <c r="R99" s="2">
        <v>232.87761187495099</v>
      </c>
      <c r="S99" s="2">
        <v>232.87761187495099</v>
      </c>
      <c r="T99" s="2">
        <v>233.76525554165701</v>
      </c>
      <c r="U99" s="2" t="s">
        <v>40</v>
      </c>
      <c r="V99" s="2">
        <v>1</v>
      </c>
      <c r="W99" s="2">
        <v>0.87809133343398504</v>
      </c>
      <c r="X99" s="2" t="s">
        <v>34</v>
      </c>
      <c r="Y99" s="2">
        <v>0</v>
      </c>
      <c r="Z99" s="2" t="s">
        <v>35</v>
      </c>
      <c r="AA99" s="2">
        <v>1</v>
      </c>
      <c r="AB99" s="2" t="s">
        <v>36</v>
      </c>
      <c r="AC99" s="2" t="s">
        <v>37</v>
      </c>
      <c r="AE99" s="2" t="s">
        <v>38</v>
      </c>
      <c r="AF99" s="2">
        <v>59.966074217912599</v>
      </c>
      <c r="AG99" s="2" t="s">
        <v>39</v>
      </c>
    </row>
    <row r="100" spans="1:33">
      <c r="A100" s="2">
        <v>98</v>
      </c>
      <c r="B100" s="2">
        <v>0</v>
      </c>
      <c r="C100" s="2">
        <v>98</v>
      </c>
      <c r="D100" s="2" t="s">
        <v>33</v>
      </c>
      <c r="E100" s="2">
        <v>0</v>
      </c>
      <c r="F100" s="2">
        <v>1.4559335833182501</v>
      </c>
      <c r="G100" s="2" t="s">
        <v>34</v>
      </c>
      <c r="H100" s="2">
        <v>0</v>
      </c>
      <c r="I100" s="2">
        <v>98</v>
      </c>
      <c r="J100" s="2">
        <v>0</v>
      </c>
      <c r="K100" s="2">
        <v>98</v>
      </c>
      <c r="L100" s="2">
        <v>0</v>
      </c>
      <c r="M100" s="2">
        <v>233.777793291606</v>
      </c>
      <c r="P100" s="2">
        <v>233.76540366664901</v>
      </c>
      <c r="Q100" s="2">
        <v>233.777793291606</v>
      </c>
      <c r="R100" s="2">
        <v>234.777824791613</v>
      </c>
      <c r="S100" s="2">
        <v>234.777824791613</v>
      </c>
      <c r="T100" s="2">
        <v>236.25121337501301</v>
      </c>
      <c r="U100" s="2" t="s">
        <v>33</v>
      </c>
      <c r="V100" s="2">
        <v>0</v>
      </c>
      <c r="W100" s="2">
        <v>1.4559335833182501</v>
      </c>
      <c r="X100" s="2" t="s">
        <v>34</v>
      </c>
      <c r="Y100" s="2">
        <v>0</v>
      </c>
      <c r="Z100" s="2" t="s">
        <v>35</v>
      </c>
      <c r="AA100" s="2">
        <v>1</v>
      </c>
      <c r="AB100" s="2" t="s">
        <v>36</v>
      </c>
      <c r="AC100" s="2" t="s">
        <v>37</v>
      </c>
      <c r="AE100" s="2" t="s">
        <v>38</v>
      </c>
      <c r="AF100" s="2">
        <v>59.966074217912599</v>
      </c>
      <c r="AG100" s="2" t="s">
        <v>39</v>
      </c>
    </row>
    <row r="101" spans="1:33">
      <c r="A101" s="2">
        <v>99</v>
      </c>
      <c r="B101" s="2">
        <v>0</v>
      </c>
      <c r="C101" s="2">
        <v>99</v>
      </c>
      <c r="D101" s="2" t="s">
        <v>33</v>
      </c>
      <c r="E101" s="2">
        <v>1</v>
      </c>
      <c r="F101" s="2">
        <v>1.38969024992547</v>
      </c>
      <c r="G101" s="2" t="s">
        <v>34</v>
      </c>
      <c r="H101" s="2">
        <v>-1</v>
      </c>
      <c r="I101" s="2">
        <v>99</v>
      </c>
      <c r="J101" s="2">
        <v>0</v>
      </c>
      <c r="K101" s="2">
        <v>99</v>
      </c>
      <c r="L101" s="2">
        <v>0</v>
      </c>
      <c r="M101" s="2">
        <v>236.26056808338001</v>
      </c>
      <c r="P101" s="2">
        <v>236.251571541652</v>
      </c>
      <c r="Q101" s="2">
        <v>236.26056808338001</v>
      </c>
      <c r="R101" s="2">
        <v>237.260936708305</v>
      </c>
      <c r="S101" s="2">
        <v>237.260936708305</v>
      </c>
      <c r="T101" s="2">
        <v>238.667043249937</v>
      </c>
      <c r="U101" s="2" t="s">
        <v>33</v>
      </c>
      <c r="V101" s="2">
        <v>1</v>
      </c>
      <c r="W101" s="2">
        <v>1.38969024992547</v>
      </c>
      <c r="X101" s="2" t="s">
        <v>34</v>
      </c>
      <c r="Y101" s="2">
        <v>-1</v>
      </c>
      <c r="Z101" s="2" t="s">
        <v>35</v>
      </c>
      <c r="AA101" s="2">
        <v>1</v>
      </c>
      <c r="AB101" s="2" t="s">
        <v>36</v>
      </c>
      <c r="AC101" s="2" t="s">
        <v>37</v>
      </c>
      <c r="AE101" s="2" t="s">
        <v>38</v>
      </c>
      <c r="AF101" s="2">
        <v>59.966074217912599</v>
      </c>
      <c r="AG101" s="2" t="s">
        <v>39</v>
      </c>
    </row>
    <row r="108" spans="1:33">
      <c r="B108" s="21" t="s">
        <v>41</v>
      </c>
      <c r="C108" s="22">
        <v>29</v>
      </c>
      <c r="F108" s="8" t="s">
        <v>42</v>
      </c>
      <c r="G108" s="22">
        <v>0.56862745100000001</v>
      </c>
    </row>
    <row r="109" spans="1:33">
      <c r="B109" s="21" t="s">
        <v>43</v>
      </c>
      <c r="C109" s="22">
        <v>22</v>
      </c>
      <c r="F109" s="23"/>
      <c r="G109" s="24"/>
    </row>
    <row r="110" spans="1:33">
      <c r="B110" s="21" t="s">
        <v>44</v>
      </c>
      <c r="C110" s="22">
        <v>20</v>
      </c>
      <c r="F110" s="8" t="s">
        <v>45</v>
      </c>
      <c r="G110" s="22">
        <v>0.408163265</v>
      </c>
    </row>
    <row r="111" spans="1:33">
      <c r="B111" s="21" t="s">
        <v>46</v>
      </c>
      <c r="C111" s="22">
        <v>29</v>
      </c>
      <c r="F111" s="23"/>
      <c r="G111" s="24"/>
    </row>
    <row r="112" spans="1:33">
      <c r="B112" s="21" t="s">
        <v>47</v>
      </c>
      <c r="C112" s="22">
        <v>51</v>
      </c>
      <c r="F112" s="8" t="s">
        <v>48</v>
      </c>
      <c r="G112" s="22">
        <v>0.40515312599999997</v>
      </c>
    </row>
    <row r="113" spans="2:7">
      <c r="B113" s="21" t="s">
        <v>49</v>
      </c>
      <c r="C113" s="22">
        <v>49</v>
      </c>
      <c r="F113" s="23"/>
      <c r="G113" s="24"/>
    </row>
    <row r="114" spans="2:7">
      <c r="F114" s="8" t="s">
        <v>50</v>
      </c>
      <c r="G114" s="22">
        <v>2.969573E-2</v>
      </c>
    </row>
    <row r="115" spans="2:7">
      <c r="F115" s="23"/>
      <c r="G115" s="24"/>
    </row>
    <row r="116" spans="2:7">
      <c r="B116" s="12"/>
      <c r="C116" s="13" t="s">
        <v>51</v>
      </c>
      <c r="D116" s="14" t="s">
        <v>52</v>
      </c>
      <c r="F116" s="9" t="s">
        <v>53</v>
      </c>
      <c r="G116" s="22">
        <v>0.17288083300000001</v>
      </c>
    </row>
    <row r="117" spans="2:7">
      <c r="B117" s="15" t="s">
        <v>54</v>
      </c>
      <c r="C117" s="11" t="s">
        <v>55</v>
      </c>
      <c r="D117" s="16" t="s">
        <v>56</v>
      </c>
      <c r="F117" s="23"/>
      <c r="G117" s="24"/>
    </row>
    <row r="118" spans="2:7">
      <c r="B118" s="17" t="s">
        <v>57</v>
      </c>
      <c r="C118" s="18" t="s">
        <v>58</v>
      </c>
      <c r="D118" s="19" t="s">
        <v>59</v>
      </c>
      <c r="F118" s="9" t="s">
        <v>60</v>
      </c>
      <c r="G118" s="22">
        <v>-0.23227229299999999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25B5-A080-4D12-89A1-B6EAC53D3653}">
  <dimension ref="A1:P102"/>
  <sheetViews>
    <sheetView topLeftCell="D75" workbookViewId="0">
      <selection activeCell="L108" sqref="L108"/>
    </sheetView>
  </sheetViews>
  <sheetFormatPr defaultColWidth="19.28515625" defaultRowHeight="15"/>
  <cols>
    <col min="1" max="16384" width="19.28515625" style="3"/>
  </cols>
  <sheetData>
    <row r="1" spans="1:16" s="5" customFormat="1">
      <c r="A1" s="5" t="s">
        <v>2</v>
      </c>
      <c r="B1" s="5" t="s">
        <v>3</v>
      </c>
      <c r="C1" s="5" t="s">
        <v>4</v>
      </c>
      <c r="D1" s="5" t="s">
        <v>7</v>
      </c>
      <c r="F1" s="5" t="s">
        <v>61</v>
      </c>
      <c r="G1" s="5" t="s">
        <v>62</v>
      </c>
      <c r="I1" s="5" t="s">
        <v>55</v>
      </c>
      <c r="J1" s="5" t="s">
        <v>56</v>
      </c>
      <c r="K1" s="5" t="s">
        <v>58</v>
      </c>
      <c r="L1" s="5" t="s">
        <v>59</v>
      </c>
    </row>
    <row r="2" spans="1:16">
      <c r="A2" s="3">
        <v>0</v>
      </c>
      <c r="B2" s="3" t="s">
        <v>33</v>
      </c>
      <c r="C2" s="3">
        <v>1</v>
      </c>
      <c r="D2" s="3">
        <v>-2</v>
      </c>
      <c r="F2" s="3" t="s">
        <v>63</v>
      </c>
      <c r="G2" s="3" t="s">
        <v>64</v>
      </c>
      <c r="L2" s="3">
        <v>1</v>
      </c>
    </row>
    <row r="3" spans="1:16">
      <c r="A3" s="3">
        <v>1</v>
      </c>
      <c r="B3" s="3" t="s">
        <v>33</v>
      </c>
      <c r="C3" s="3">
        <v>1</v>
      </c>
      <c r="D3" s="3">
        <v>-1</v>
      </c>
      <c r="F3" s="3" t="s">
        <v>63</v>
      </c>
      <c r="G3" s="3" t="s">
        <v>64</v>
      </c>
      <c r="L3" s="3">
        <v>1</v>
      </c>
    </row>
    <row r="4" spans="1:16">
      <c r="A4" s="3">
        <v>2</v>
      </c>
      <c r="B4" s="3" t="s">
        <v>33</v>
      </c>
      <c r="C4" s="3">
        <v>1</v>
      </c>
      <c r="D4" s="3">
        <v>2</v>
      </c>
      <c r="F4" s="3" t="s">
        <v>63</v>
      </c>
      <c r="G4" s="3" t="s">
        <v>64</v>
      </c>
      <c r="L4" s="3">
        <v>1</v>
      </c>
    </row>
    <row r="5" spans="1:16">
      <c r="A5" s="3">
        <v>3</v>
      </c>
      <c r="B5" s="3" t="s">
        <v>33</v>
      </c>
      <c r="C5" s="3">
        <v>0</v>
      </c>
      <c r="D5" s="3">
        <v>0</v>
      </c>
      <c r="G5" s="3" t="s">
        <v>64</v>
      </c>
      <c r="J5" s="3">
        <v>1</v>
      </c>
    </row>
    <row r="6" spans="1:16">
      <c r="A6" s="3">
        <v>4</v>
      </c>
      <c r="B6" s="3" t="s">
        <v>33</v>
      </c>
      <c r="C6" s="3">
        <v>1</v>
      </c>
      <c r="D6" s="3">
        <v>0</v>
      </c>
      <c r="G6" s="3" t="s">
        <v>64</v>
      </c>
      <c r="J6" s="3">
        <v>1</v>
      </c>
    </row>
    <row r="7" spans="1:16">
      <c r="A7" s="3">
        <v>5</v>
      </c>
      <c r="B7" s="3" t="s">
        <v>40</v>
      </c>
      <c r="C7" s="3">
        <v>1</v>
      </c>
      <c r="D7" s="3">
        <v>0</v>
      </c>
      <c r="I7" s="3">
        <v>1</v>
      </c>
    </row>
    <row r="8" spans="1:16">
      <c r="A8" s="3">
        <v>6</v>
      </c>
      <c r="B8" s="3" t="s">
        <v>33</v>
      </c>
      <c r="C8" s="3">
        <v>0</v>
      </c>
      <c r="D8" s="3">
        <v>0</v>
      </c>
      <c r="G8" s="3" t="s">
        <v>64</v>
      </c>
      <c r="J8" s="3">
        <v>1</v>
      </c>
    </row>
    <row r="9" spans="1:16">
      <c r="A9" s="3">
        <v>7</v>
      </c>
      <c r="B9" s="3" t="s">
        <v>40</v>
      </c>
      <c r="C9" s="3">
        <v>0</v>
      </c>
      <c r="D9" s="3">
        <v>-2</v>
      </c>
      <c r="F9" s="3" t="s">
        <v>63</v>
      </c>
      <c r="K9" s="3">
        <v>1</v>
      </c>
      <c r="N9"/>
      <c r="O9" t="s">
        <v>51</v>
      </c>
      <c r="P9" s="4" t="s">
        <v>52</v>
      </c>
    </row>
    <row r="10" spans="1:16">
      <c r="A10" s="3">
        <v>8</v>
      </c>
      <c r="B10" s="3" t="s">
        <v>40</v>
      </c>
      <c r="C10" s="3">
        <v>0</v>
      </c>
      <c r="D10" s="3">
        <v>2</v>
      </c>
      <c r="F10" s="3" t="s">
        <v>63</v>
      </c>
      <c r="K10" s="3">
        <v>1</v>
      </c>
      <c r="N10" t="s">
        <v>54</v>
      </c>
      <c r="O10" t="s">
        <v>55</v>
      </c>
      <c r="P10" t="s">
        <v>56</v>
      </c>
    </row>
    <row r="11" spans="1:16">
      <c r="A11" s="3">
        <v>9</v>
      </c>
      <c r="B11" s="3" t="s">
        <v>33</v>
      </c>
      <c r="C11" s="3">
        <v>1</v>
      </c>
      <c r="D11" s="3">
        <v>-5</v>
      </c>
      <c r="F11" s="3" t="s">
        <v>63</v>
      </c>
      <c r="G11" s="3" t="s">
        <v>64</v>
      </c>
      <c r="L11" s="3">
        <v>1</v>
      </c>
      <c r="N11" t="s">
        <v>57</v>
      </c>
      <c r="O11" t="s">
        <v>58</v>
      </c>
      <c r="P11" t="s">
        <v>59</v>
      </c>
    </row>
    <row r="12" spans="1:16">
      <c r="A12" s="3">
        <v>10</v>
      </c>
      <c r="B12" s="3" t="s">
        <v>40</v>
      </c>
      <c r="C12" s="3">
        <v>0</v>
      </c>
      <c r="D12" s="3">
        <v>2</v>
      </c>
      <c r="F12" s="3" t="s">
        <v>63</v>
      </c>
      <c r="K12" s="3">
        <v>1</v>
      </c>
    </row>
    <row r="13" spans="1:16">
      <c r="A13" s="3">
        <v>11</v>
      </c>
      <c r="B13" s="3" t="s">
        <v>40</v>
      </c>
      <c r="C13" s="3">
        <v>0</v>
      </c>
      <c r="D13" s="3">
        <v>2</v>
      </c>
      <c r="F13" s="3" t="s">
        <v>63</v>
      </c>
      <c r="K13" s="3">
        <v>1</v>
      </c>
    </row>
    <row r="14" spans="1:16">
      <c r="A14" s="3">
        <v>12</v>
      </c>
      <c r="B14" s="3" t="s">
        <v>40</v>
      </c>
      <c r="C14" s="3">
        <v>1</v>
      </c>
      <c r="D14" s="3">
        <v>0</v>
      </c>
      <c r="I14" s="3">
        <v>1</v>
      </c>
    </row>
    <row r="15" spans="1:16">
      <c r="A15" s="3">
        <v>13</v>
      </c>
      <c r="B15" s="3" t="s">
        <v>40</v>
      </c>
      <c r="C15" s="3">
        <v>0</v>
      </c>
      <c r="D15" s="3">
        <v>-2</v>
      </c>
      <c r="F15" s="3" t="s">
        <v>63</v>
      </c>
      <c r="K15" s="3">
        <v>1</v>
      </c>
    </row>
    <row r="16" spans="1:16">
      <c r="A16" s="3">
        <v>14</v>
      </c>
      <c r="B16" s="3" t="s">
        <v>33</v>
      </c>
      <c r="C16" s="3">
        <v>0</v>
      </c>
      <c r="D16" s="3">
        <v>0</v>
      </c>
      <c r="G16" s="3" t="s">
        <v>64</v>
      </c>
      <c r="J16" s="3">
        <v>1</v>
      </c>
    </row>
    <row r="17" spans="1:12">
      <c r="A17" s="3">
        <v>15</v>
      </c>
      <c r="B17" s="3" t="s">
        <v>40</v>
      </c>
      <c r="C17" s="3">
        <v>1</v>
      </c>
      <c r="D17" s="3">
        <v>0</v>
      </c>
      <c r="I17" s="3">
        <v>1</v>
      </c>
    </row>
    <row r="18" spans="1:12">
      <c r="A18" s="3">
        <v>16</v>
      </c>
      <c r="B18" s="3" t="s">
        <v>33</v>
      </c>
      <c r="C18" s="3">
        <v>1</v>
      </c>
      <c r="D18" s="3">
        <v>-2</v>
      </c>
      <c r="F18" s="3" t="s">
        <v>63</v>
      </c>
      <c r="G18" s="3" t="s">
        <v>64</v>
      </c>
      <c r="L18" s="3">
        <v>1</v>
      </c>
    </row>
    <row r="19" spans="1:12">
      <c r="A19" s="3">
        <v>17</v>
      </c>
      <c r="B19" s="3" t="s">
        <v>40</v>
      </c>
      <c r="C19" s="3">
        <v>0</v>
      </c>
      <c r="D19" s="3">
        <v>4</v>
      </c>
      <c r="F19" s="3" t="s">
        <v>63</v>
      </c>
      <c r="K19" s="3">
        <v>1</v>
      </c>
    </row>
    <row r="20" spans="1:12">
      <c r="A20" s="3">
        <v>18</v>
      </c>
      <c r="B20" s="3" t="s">
        <v>40</v>
      </c>
      <c r="C20" s="3">
        <v>1</v>
      </c>
      <c r="D20" s="3">
        <v>0</v>
      </c>
      <c r="I20" s="3">
        <v>1</v>
      </c>
    </row>
    <row r="21" spans="1:12">
      <c r="A21" s="3">
        <v>19</v>
      </c>
      <c r="B21" s="3" t="s">
        <v>40</v>
      </c>
      <c r="C21" s="3">
        <v>1</v>
      </c>
      <c r="D21" s="3">
        <v>0</v>
      </c>
      <c r="I21" s="3">
        <v>1</v>
      </c>
    </row>
    <row r="22" spans="1:12">
      <c r="A22" s="3">
        <v>20</v>
      </c>
      <c r="B22" s="3" t="s">
        <v>40</v>
      </c>
      <c r="C22" s="3">
        <v>1</v>
      </c>
      <c r="D22" s="3">
        <v>0</v>
      </c>
      <c r="I22" s="3">
        <v>1</v>
      </c>
    </row>
    <row r="23" spans="1:12">
      <c r="A23" s="3">
        <v>21</v>
      </c>
      <c r="B23" s="3" t="s">
        <v>33</v>
      </c>
      <c r="C23" s="3">
        <v>1</v>
      </c>
      <c r="D23" s="3">
        <v>3</v>
      </c>
      <c r="F23" s="3" t="s">
        <v>63</v>
      </c>
      <c r="G23" s="3" t="s">
        <v>64</v>
      </c>
      <c r="L23" s="3">
        <v>1</v>
      </c>
    </row>
    <row r="24" spans="1:12">
      <c r="A24" s="3">
        <v>22</v>
      </c>
      <c r="B24" s="3" t="s">
        <v>33</v>
      </c>
      <c r="C24" s="3">
        <v>1</v>
      </c>
      <c r="D24" s="3">
        <v>2</v>
      </c>
      <c r="F24" s="3" t="s">
        <v>63</v>
      </c>
      <c r="G24" s="3" t="s">
        <v>64</v>
      </c>
      <c r="L24" s="3">
        <v>1</v>
      </c>
    </row>
    <row r="25" spans="1:12">
      <c r="A25" s="3">
        <v>23</v>
      </c>
      <c r="B25" s="3" t="s">
        <v>40</v>
      </c>
      <c r="C25" s="3">
        <v>0</v>
      </c>
      <c r="D25" s="3">
        <v>-5</v>
      </c>
      <c r="F25" s="3" t="s">
        <v>63</v>
      </c>
      <c r="K25" s="3">
        <v>1</v>
      </c>
    </row>
    <row r="26" spans="1:12">
      <c r="A26" s="3">
        <v>24</v>
      </c>
      <c r="B26" s="3" t="s">
        <v>33</v>
      </c>
      <c r="C26" s="3">
        <v>1</v>
      </c>
      <c r="D26" s="3">
        <v>4</v>
      </c>
      <c r="F26" s="3" t="s">
        <v>63</v>
      </c>
      <c r="G26" s="3" t="s">
        <v>64</v>
      </c>
      <c r="L26" s="3">
        <v>1</v>
      </c>
    </row>
    <row r="27" spans="1:12">
      <c r="A27" s="3">
        <v>25</v>
      </c>
      <c r="B27" s="3" t="s">
        <v>33</v>
      </c>
      <c r="C27" s="3">
        <v>1</v>
      </c>
      <c r="D27" s="3">
        <v>3</v>
      </c>
      <c r="F27" s="3" t="s">
        <v>63</v>
      </c>
      <c r="G27" s="3" t="s">
        <v>64</v>
      </c>
      <c r="L27" s="3">
        <v>1</v>
      </c>
    </row>
    <row r="28" spans="1:12">
      <c r="A28" s="3">
        <v>26</v>
      </c>
      <c r="B28" s="3" t="s">
        <v>40</v>
      </c>
      <c r="C28" s="3">
        <v>1</v>
      </c>
      <c r="D28" s="3">
        <v>0</v>
      </c>
      <c r="I28" s="3">
        <v>1</v>
      </c>
    </row>
    <row r="29" spans="1:12">
      <c r="A29" s="3">
        <v>27</v>
      </c>
      <c r="B29" s="3" t="s">
        <v>40</v>
      </c>
      <c r="C29" s="3">
        <v>0</v>
      </c>
      <c r="D29" s="3">
        <v>-1</v>
      </c>
      <c r="F29" s="3" t="s">
        <v>63</v>
      </c>
      <c r="K29" s="3">
        <v>1</v>
      </c>
    </row>
    <row r="30" spans="1:12">
      <c r="A30" s="3">
        <v>28</v>
      </c>
      <c r="B30" s="3" t="s">
        <v>40</v>
      </c>
      <c r="C30" s="3">
        <v>1</v>
      </c>
      <c r="D30" s="3">
        <v>0</v>
      </c>
      <c r="I30" s="3">
        <v>1</v>
      </c>
    </row>
    <row r="31" spans="1:12">
      <c r="A31" s="3">
        <v>29</v>
      </c>
      <c r="B31" s="3" t="s">
        <v>40</v>
      </c>
      <c r="C31" s="3">
        <v>1</v>
      </c>
      <c r="D31" s="3">
        <v>0</v>
      </c>
      <c r="I31" s="3">
        <v>1</v>
      </c>
    </row>
    <row r="32" spans="1:12">
      <c r="A32" s="3">
        <v>30</v>
      </c>
      <c r="B32" s="3" t="s">
        <v>33</v>
      </c>
      <c r="C32" s="3">
        <v>1</v>
      </c>
      <c r="D32" s="3">
        <v>-4</v>
      </c>
      <c r="F32" s="3" t="s">
        <v>63</v>
      </c>
      <c r="G32" s="3" t="s">
        <v>64</v>
      </c>
      <c r="L32" s="3">
        <v>1</v>
      </c>
    </row>
    <row r="33" spans="1:12">
      <c r="A33" s="3">
        <v>31</v>
      </c>
      <c r="B33" s="3" t="s">
        <v>33</v>
      </c>
      <c r="C33" s="3">
        <v>0</v>
      </c>
      <c r="D33" s="3">
        <v>0</v>
      </c>
      <c r="G33" s="3" t="s">
        <v>64</v>
      </c>
      <c r="J33" s="3">
        <v>1</v>
      </c>
    </row>
    <row r="34" spans="1:12">
      <c r="A34" s="3">
        <v>32</v>
      </c>
      <c r="B34" s="3" t="s">
        <v>33</v>
      </c>
      <c r="C34" s="3">
        <v>1</v>
      </c>
      <c r="D34" s="3">
        <v>-3</v>
      </c>
      <c r="F34" s="3" t="s">
        <v>63</v>
      </c>
      <c r="G34" s="3" t="s">
        <v>64</v>
      </c>
      <c r="L34" s="3">
        <v>1</v>
      </c>
    </row>
    <row r="35" spans="1:12">
      <c r="A35" s="3">
        <v>33</v>
      </c>
      <c r="B35" s="3" t="s">
        <v>33</v>
      </c>
      <c r="C35" s="3">
        <v>1</v>
      </c>
      <c r="D35" s="3">
        <v>-1</v>
      </c>
      <c r="F35" s="3" t="s">
        <v>63</v>
      </c>
      <c r="G35" s="3" t="s">
        <v>64</v>
      </c>
      <c r="L35" s="3">
        <v>1</v>
      </c>
    </row>
    <row r="36" spans="1:12">
      <c r="A36" s="3">
        <v>34</v>
      </c>
      <c r="B36" s="3" t="s">
        <v>40</v>
      </c>
      <c r="C36" s="3">
        <v>1</v>
      </c>
      <c r="D36" s="3">
        <v>0</v>
      </c>
      <c r="I36" s="3">
        <v>1</v>
      </c>
    </row>
    <row r="37" spans="1:12">
      <c r="A37" s="3">
        <v>35</v>
      </c>
      <c r="B37" s="3" t="s">
        <v>40</v>
      </c>
      <c r="C37" s="3">
        <v>0</v>
      </c>
      <c r="D37" s="3">
        <v>-5</v>
      </c>
      <c r="F37" s="3" t="s">
        <v>63</v>
      </c>
      <c r="K37" s="3">
        <v>1</v>
      </c>
    </row>
    <row r="38" spans="1:12">
      <c r="A38" s="3">
        <v>36</v>
      </c>
      <c r="B38" s="3" t="s">
        <v>40</v>
      </c>
      <c r="C38" s="3">
        <v>0</v>
      </c>
      <c r="D38" s="3">
        <v>-4</v>
      </c>
      <c r="F38" s="3" t="s">
        <v>63</v>
      </c>
      <c r="K38" s="3">
        <v>1</v>
      </c>
    </row>
    <row r="39" spans="1:12">
      <c r="A39" s="3">
        <v>37</v>
      </c>
      <c r="B39" s="3" t="s">
        <v>40</v>
      </c>
      <c r="C39" s="3">
        <v>1</v>
      </c>
      <c r="D39" s="3">
        <v>0</v>
      </c>
      <c r="I39" s="3">
        <v>1</v>
      </c>
    </row>
    <row r="40" spans="1:12">
      <c r="A40" s="3">
        <v>38</v>
      </c>
      <c r="B40" s="3" t="s">
        <v>40</v>
      </c>
      <c r="C40" s="3">
        <v>0</v>
      </c>
      <c r="D40" s="3">
        <v>0</v>
      </c>
      <c r="I40" s="3">
        <v>1</v>
      </c>
    </row>
    <row r="41" spans="1:12">
      <c r="A41" s="3">
        <v>39</v>
      </c>
      <c r="B41" s="3" t="s">
        <v>33</v>
      </c>
      <c r="C41" s="3">
        <v>1</v>
      </c>
      <c r="D41" s="3">
        <v>-4</v>
      </c>
      <c r="F41" s="3" t="s">
        <v>63</v>
      </c>
      <c r="G41" s="3" t="s">
        <v>64</v>
      </c>
      <c r="L41" s="3">
        <v>1</v>
      </c>
    </row>
    <row r="42" spans="1:12">
      <c r="A42" s="3">
        <v>40</v>
      </c>
      <c r="B42" s="3" t="s">
        <v>33</v>
      </c>
      <c r="C42" s="3">
        <v>1</v>
      </c>
      <c r="D42" s="3">
        <v>-4</v>
      </c>
      <c r="F42" s="3" t="s">
        <v>63</v>
      </c>
      <c r="G42" s="3" t="s">
        <v>64</v>
      </c>
      <c r="L42" s="3">
        <v>1</v>
      </c>
    </row>
    <row r="43" spans="1:12">
      <c r="A43" s="3">
        <v>41</v>
      </c>
      <c r="B43" s="3" t="s">
        <v>40</v>
      </c>
      <c r="C43" s="3">
        <v>1</v>
      </c>
      <c r="D43" s="3">
        <v>0</v>
      </c>
      <c r="I43" s="3">
        <v>1</v>
      </c>
    </row>
    <row r="44" spans="1:12">
      <c r="A44" s="3">
        <v>42</v>
      </c>
      <c r="B44" s="3" t="s">
        <v>33</v>
      </c>
      <c r="C44" s="3">
        <v>1</v>
      </c>
      <c r="D44" s="3">
        <v>-5</v>
      </c>
      <c r="F44" s="3" t="s">
        <v>63</v>
      </c>
      <c r="G44" s="3" t="s">
        <v>64</v>
      </c>
      <c r="L44" s="3">
        <v>1</v>
      </c>
    </row>
    <row r="45" spans="1:12">
      <c r="A45" s="3">
        <v>43</v>
      </c>
      <c r="B45" s="3" t="s">
        <v>40</v>
      </c>
      <c r="C45" s="3">
        <v>1</v>
      </c>
      <c r="D45" s="3">
        <v>0</v>
      </c>
      <c r="I45" s="3">
        <v>1</v>
      </c>
    </row>
    <row r="46" spans="1:12">
      <c r="A46" s="3">
        <v>44</v>
      </c>
      <c r="B46" s="3" t="s">
        <v>33</v>
      </c>
      <c r="C46" s="3">
        <v>1</v>
      </c>
      <c r="D46" s="3">
        <v>-2</v>
      </c>
      <c r="F46" s="3" t="s">
        <v>63</v>
      </c>
      <c r="K46" s="3">
        <v>1</v>
      </c>
    </row>
    <row r="47" spans="1:12">
      <c r="A47" s="3">
        <v>45</v>
      </c>
      <c r="B47" s="3" t="s">
        <v>40</v>
      </c>
      <c r="C47" s="3">
        <v>0</v>
      </c>
      <c r="D47" s="3">
        <v>-1</v>
      </c>
      <c r="F47" s="3" t="s">
        <v>63</v>
      </c>
      <c r="G47" s="3" t="s">
        <v>64</v>
      </c>
      <c r="L47" s="3">
        <v>1</v>
      </c>
    </row>
    <row r="48" spans="1:12">
      <c r="A48" s="3">
        <v>46</v>
      </c>
      <c r="B48" s="3" t="s">
        <v>40</v>
      </c>
      <c r="C48" s="3">
        <v>1</v>
      </c>
      <c r="D48" s="3">
        <v>0</v>
      </c>
      <c r="I48" s="3">
        <v>1</v>
      </c>
    </row>
    <row r="49" spans="1:12">
      <c r="A49" s="3">
        <v>47</v>
      </c>
      <c r="B49" s="3" t="s">
        <v>40</v>
      </c>
      <c r="C49" s="3">
        <v>1</v>
      </c>
      <c r="D49" s="3">
        <v>0</v>
      </c>
      <c r="I49" s="3">
        <v>1</v>
      </c>
    </row>
    <row r="50" spans="1:12">
      <c r="A50" s="3">
        <v>48</v>
      </c>
      <c r="B50" s="3" t="s">
        <v>40</v>
      </c>
      <c r="C50" s="3">
        <v>1</v>
      </c>
      <c r="D50" s="3">
        <v>0</v>
      </c>
      <c r="I50" s="3">
        <v>1</v>
      </c>
    </row>
    <row r="51" spans="1:12">
      <c r="A51" s="3">
        <v>49</v>
      </c>
      <c r="B51" s="3" t="s">
        <v>40</v>
      </c>
      <c r="C51" s="3">
        <v>1</v>
      </c>
      <c r="D51" s="3">
        <v>0</v>
      </c>
      <c r="I51" s="3">
        <v>1</v>
      </c>
    </row>
    <row r="52" spans="1:12">
      <c r="A52" s="3">
        <v>50</v>
      </c>
      <c r="B52" s="3" t="s">
        <v>33</v>
      </c>
      <c r="C52" s="3">
        <v>1</v>
      </c>
      <c r="D52" s="3">
        <v>2</v>
      </c>
      <c r="F52" s="3" t="s">
        <v>63</v>
      </c>
      <c r="G52" s="3" t="s">
        <v>64</v>
      </c>
      <c r="L52" s="3">
        <v>1</v>
      </c>
    </row>
    <row r="53" spans="1:12">
      <c r="A53" s="3">
        <v>51</v>
      </c>
      <c r="B53" s="3" t="s">
        <v>33</v>
      </c>
      <c r="C53" s="3">
        <v>1</v>
      </c>
      <c r="D53" s="3">
        <v>0</v>
      </c>
      <c r="G53" s="3" t="s">
        <v>64</v>
      </c>
      <c r="J53" s="3">
        <v>1</v>
      </c>
    </row>
    <row r="54" spans="1:12">
      <c r="A54" s="3">
        <v>52</v>
      </c>
      <c r="B54" s="3" t="s">
        <v>33</v>
      </c>
      <c r="C54" s="3">
        <v>1</v>
      </c>
      <c r="D54" s="3">
        <v>1</v>
      </c>
      <c r="F54" s="3" t="s">
        <v>63</v>
      </c>
      <c r="G54" s="3" t="s">
        <v>64</v>
      </c>
      <c r="L54" s="3">
        <v>1</v>
      </c>
    </row>
    <row r="55" spans="1:12">
      <c r="A55" s="3">
        <v>53</v>
      </c>
      <c r="B55" s="3" t="s">
        <v>40</v>
      </c>
      <c r="C55" s="3">
        <v>0</v>
      </c>
      <c r="D55" s="3">
        <v>1</v>
      </c>
      <c r="F55" s="3" t="s">
        <v>63</v>
      </c>
      <c r="K55" s="3">
        <v>1</v>
      </c>
    </row>
    <row r="56" spans="1:12">
      <c r="A56" s="3">
        <v>54</v>
      </c>
      <c r="B56" s="3" t="s">
        <v>40</v>
      </c>
      <c r="C56" s="3">
        <v>1</v>
      </c>
      <c r="D56" s="3">
        <v>0</v>
      </c>
      <c r="I56" s="3">
        <v>1</v>
      </c>
    </row>
    <row r="57" spans="1:12">
      <c r="A57" s="3">
        <v>55</v>
      </c>
      <c r="B57" s="3" t="s">
        <v>40</v>
      </c>
      <c r="C57" s="3">
        <v>0</v>
      </c>
      <c r="D57" s="3">
        <v>4</v>
      </c>
      <c r="F57" s="3" t="s">
        <v>63</v>
      </c>
      <c r="K57" s="3">
        <v>1</v>
      </c>
    </row>
    <row r="58" spans="1:12">
      <c r="A58" s="3">
        <v>56</v>
      </c>
      <c r="B58" s="3" t="s">
        <v>33</v>
      </c>
      <c r="C58" s="3">
        <v>0</v>
      </c>
      <c r="D58" s="3">
        <v>0</v>
      </c>
      <c r="G58" s="3" t="s">
        <v>64</v>
      </c>
      <c r="J58" s="3">
        <v>1</v>
      </c>
    </row>
    <row r="59" spans="1:12">
      <c r="A59" s="3">
        <v>57</v>
      </c>
      <c r="B59" s="3" t="s">
        <v>40</v>
      </c>
      <c r="C59" s="3">
        <v>0</v>
      </c>
      <c r="D59" s="3">
        <v>-2</v>
      </c>
      <c r="F59" s="3" t="s">
        <v>63</v>
      </c>
      <c r="K59" s="3">
        <v>1</v>
      </c>
    </row>
    <row r="60" spans="1:12">
      <c r="A60" s="3">
        <v>58</v>
      </c>
      <c r="B60" s="3" t="s">
        <v>33</v>
      </c>
      <c r="C60" s="3">
        <v>0</v>
      </c>
      <c r="D60" s="3">
        <v>0</v>
      </c>
      <c r="G60" s="3" t="s">
        <v>64</v>
      </c>
      <c r="J60" s="3">
        <v>1</v>
      </c>
    </row>
    <row r="61" spans="1:12">
      <c r="A61" s="3">
        <v>59</v>
      </c>
      <c r="B61" s="3" t="s">
        <v>33</v>
      </c>
      <c r="C61" s="3">
        <v>0</v>
      </c>
      <c r="D61" s="3">
        <v>0</v>
      </c>
      <c r="G61" s="3" t="s">
        <v>64</v>
      </c>
      <c r="J61" s="3">
        <v>1</v>
      </c>
    </row>
    <row r="62" spans="1:12">
      <c r="A62" s="3">
        <v>60</v>
      </c>
      <c r="B62" s="3" t="s">
        <v>33</v>
      </c>
      <c r="C62" s="3">
        <v>0</v>
      </c>
      <c r="D62" s="3">
        <v>0</v>
      </c>
      <c r="G62" s="3" t="s">
        <v>64</v>
      </c>
      <c r="J62" s="3">
        <v>1</v>
      </c>
    </row>
    <row r="63" spans="1:12">
      <c r="A63" s="3">
        <v>61</v>
      </c>
      <c r="B63" s="3" t="s">
        <v>40</v>
      </c>
      <c r="C63" s="3">
        <v>1</v>
      </c>
      <c r="D63" s="3">
        <v>0</v>
      </c>
      <c r="I63" s="3">
        <v>1</v>
      </c>
    </row>
    <row r="64" spans="1:12">
      <c r="A64" s="3">
        <v>62</v>
      </c>
      <c r="B64" s="3" t="s">
        <v>33</v>
      </c>
      <c r="C64" s="3">
        <v>0</v>
      </c>
      <c r="D64" s="3">
        <v>0</v>
      </c>
      <c r="G64" s="3" t="s">
        <v>64</v>
      </c>
      <c r="J64" s="3">
        <v>1</v>
      </c>
    </row>
    <row r="65" spans="1:12">
      <c r="A65" s="3">
        <v>63</v>
      </c>
      <c r="B65" s="3" t="s">
        <v>33</v>
      </c>
      <c r="C65" s="3">
        <v>1</v>
      </c>
      <c r="D65" s="3">
        <v>-1</v>
      </c>
      <c r="F65" s="3" t="s">
        <v>63</v>
      </c>
      <c r="G65" s="3" t="s">
        <v>64</v>
      </c>
      <c r="L65" s="3">
        <v>1</v>
      </c>
    </row>
    <row r="66" spans="1:12">
      <c r="A66" s="3">
        <v>64</v>
      </c>
      <c r="B66" s="3" t="s">
        <v>40</v>
      </c>
      <c r="C66" s="3">
        <v>0</v>
      </c>
      <c r="D66" s="3">
        <v>3</v>
      </c>
      <c r="F66" s="3" t="s">
        <v>63</v>
      </c>
      <c r="K66" s="3">
        <v>1</v>
      </c>
    </row>
    <row r="67" spans="1:12">
      <c r="A67" s="3">
        <v>65</v>
      </c>
      <c r="B67" s="3" t="s">
        <v>33</v>
      </c>
      <c r="C67" s="3">
        <v>1</v>
      </c>
      <c r="D67" s="3">
        <v>-3</v>
      </c>
      <c r="F67" s="3" t="s">
        <v>63</v>
      </c>
      <c r="G67" s="3" t="s">
        <v>64</v>
      </c>
      <c r="L67" s="3">
        <v>1</v>
      </c>
    </row>
    <row r="68" spans="1:12">
      <c r="A68" s="3">
        <v>66</v>
      </c>
      <c r="B68" s="3" t="s">
        <v>40</v>
      </c>
      <c r="C68" s="3">
        <v>1</v>
      </c>
      <c r="D68" s="3">
        <v>0</v>
      </c>
      <c r="I68" s="3">
        <v>1</v>
      </c>
    </row>
    <row r="69" spans="1:12">
      <c r="A69" s="3">
        <v>67</v>
      </c>
      <c r="B69" s="3" t="s">
        <v>33</v>
      </c>
      <c r="C69" s="3">
        <v>0</v>
      </c>
      <c r="D69" s="3">
        <v>0</v>
      </c>
      <c r="G69" s="3" t="s">
        <v>64</v>
      </c>
      <c r="J69" s="3">
        <v>1</v>
      </c>
    </row>
    <row r="70" spans="1:12">
      <c r="A70" s="3">
        <v>68</v>
      </c>
      <c r="B70" s="3" t="s">
        <v>33</v>
      </c>
      <c r="C70" s="3">
        <v>1</v>
      </c>
      <c r="D70" s="3">
        <v>-1</v>
      </c>
      <c r="F70" s="3" t="s">
        <v>63</v>
      </c>
      <c r="G70" s="3" t="s">
        <v>64</v>
      </c>
      <c r="L70" s="3">
        <v>1</v>
      </c>
    </row>
    <row r="71" spans="1:12">
      <c r="A71" s="3">
        <v>69</v>
      </c>
      <c r="B71" s="3" t="s">
        <v>33</v>
      </c>
      <c r="C71" s="3">
        <v>0</v>
      </c>
      <c r="D71" s="3">
        <v>0</v>
      </c>
      <c r="G71" s="3" t="s">
        <v>64</v>
      </c>
      <c r="J71" s="3">
        <v>1</v>
      </c>
    </row>
    <row r="72" spans="1:12">
      <c r="A72" s="3">
        <v>70</v>
      </c>
      <c r="B72" s="3" t="s">
        <v>40</v>
      </c>
      <c r="C72" s="3">
        <v>1</v>
      </c>
      <c r="D72" s="3">
        <v>0</v>
      </c>
      <c r="I72" s="3">
        <v>1</v>
      </c>
    </row>
    <row r="73" spans="1:12">
      <c r="A73" s="3">
        <v>71</v>
      </c>
      <c r="B73" s="3" t="s">
        <v>40</v>
      </c>
      <c r="C73" s="3">
        <v>1</v>
      </c>
      <c r="D73" s="3">
        <v>0</v>
      </c>
      <c r="I73" s="3">
        <v>1</v>
      </c>
    </row>
    <row r="74" spans="1:12">
      <c r="A74" s="3">
        <v>72</v>
      </c>
      <c r="B74" s="3" t="s">
        <v>40</v>
      </c>
      <c r="C74" s="3">
        <v>0</v>
      </c>
      <c r="D74" s="3">
        <v>4</v>
      </c>
      <c r="F74" s="3" t="s">
        <v>63</v>
      </c>
      <c r="I74" s="3">
        <v>1</v>
      </c>
    </row>
    <row r="75" spans="1:12">
      <c r="A75" s="3">
        <v>73</v>
      </c>
      <c r="B75" s="3" t="s">
        <v>33</v>
      </c>
      <c r="C75" s="3">
        <v>1</v>
      </c>
      <c r="D75" s="3">
        <v>2</v>
      </c>
      <c r="F75" s="3" t="s">
        <v>63</v>
      </c>
      <c r="G75" s="3" t="s">
        <v>64</v>
      </c>
      <c r="L75" s="3">
        <v>1</v>
      </c>
    </row>
    <row r="76" spans="1:12">
      <c r="A76" s="3">
        <v>74</v>
      </c>
      <c r="B76" s="3" t="s">
        <v>33</v>
      </c>
      <c r="C76" s="3">
        <v>1</v>
      </c>
      <c r="D76" s="3">
        <v>-4</v>
      </c>
      <c r="F76" s="3" t="s">
        <v>63</v>
      </c>
      <c r="G76" s="3" t="s">
        <v>64</v>
      </c>
      <c r="L76" s="3">
        <v>1</v>
      </c>
    </row>
    <row r="77" spans="1:12">
      <c r="A77" s="3">
        <v>75</v>
      </c>
      <c r="B77" s="3" t="s">
        <v>33</v>
      </c>
      <c r="C77" s="3">
        <v>0</v>
      </c>
      <c r="D77" s="3">
        <v>0</v>
      </c>
      <c r="G77" s="3" t="s">
        <v>64</v>
      </c>
      <c r="J77" s="3">
        <v>1</v>
      </c>
    </row>
    <row r="78" spans="1:12">
      <c r="A78" s="3">
        <v>76</v>
      </c>
      <c r="B78" s="3" t="s">
        <v>40</v>
      </c>
      <c r="C78" s="3">
        <v>0</v>
      </c>
      <c r="D78" s="3">
        <v>-2</v>
      </c>
      <c r="F78" s="3" t="s">
        <v>63</v>
      </c>
      <c r="K78" s="3">
        <v>1</v>
      </c>
    </row>
    <row r="79" spans="1:12">
      <c r="A79" s="3">
        <v>77</v>
      </c>
      <c r="B79" s="3" t="s">
        <v>40</v>
      </c>
      <c r="C79" s="3">
        <v>1</v>
      </c>
      <c r="D79" s="3">
        <v>0</v>
      </c>
      <c r="I79" s="3">
        <v>1</v>
      </c>
    </row>
    <row r="80" spans="1:12">
      <c r="A80" s="3">
        <v>78</v>
      </c>
      <c r="B80" s="3" t="s">
        <v>33</v>
      </c>
      <c r="C80" s="3">
        <v>0</v>
      </c>
      <c r="D80" s="3">
        <v>0</v>
      </c>
      <c r="G80" s="3" t="s">
        <v>64</v>
      </c>
      <c r="J80" s="3">
        <v>1</v>
      </c>
    </row>
    <row r="81" spans="1:12">
      <c r="A81" s="3">
        <v>79</v>
      </c>
      <c r="B81" s="3" t="s">
        <v>33</v>
      </c>
      <c r="C81" s="3">
        <v>0</v>
      </c>
      <c r="D81" s="3">
        <v>0</v>
      </c>
      <c r="G81" s="3" t="s">
        <v>64</v>
      </c>
      <c r="J81" s="3">
        <v>1</v>
      </c>
    </row>
    <row r="82" spans="1:12">
      <c r="A82" s="3">
        <v>80</v>
      </c>
      <c r="B82" s="3" t="s">
        <v>33</v>
      </c>
      <c r="C82" s="3">
        <v>1</v>
      </c>
      <c r="D82" s="3">
        <v>-4</v>
      </c>
      <c r="F82" s="3" t="s">
        <v>63</v>
      </c>
      <c r="G82" s="3" t="s">
        <v>64</v>
      </c>
      <c r="L82" s="3">
        <v>1</v>
      </c>
    </row>
    <row r="83" spans="1:12">
      <c r="A83" s="3">
        <v>81</v>
      </c>
      <c r="B83" s="3" t="s">
        <v>40</v>
      </c>
      <c r="C83" s="3">
        <v>0</v>
      </c>
      <c r="D83" s="3">
        <v>3</v>
      </c>
      <c r="F83" s="3" t="s">
        <v>63</v>
      </c>
      <c r="K83" s="3">
        <v>1</v>
      </c>
    </row>
    <row r="84" spans="1:12">
      <c r="A84" s="3">
        <v>82</v>
      </c>
      <c r="B84" s="3" t="s">
        <v>33</v>
      </c>
      <c r="C84" s="3">
        <v>1</v>
      </c>
      <c r="D84" s="3">
        <v>1</v>
      </c>
      <c r="F84" s="3" t="s">
        <v>63</v>
      </c>
      <c r="G84" s="3" t="s">
        <v>64</v>
      </c>
      <c r="L84" s="3">
        <v>1</v>
      </c>
    </row>
    <row r="85" spans="1:12">
      <c r="A85" s="3">
        <v>83</v>
      </c>
      <c r="B85" s="3" t="s">
        <v>40</v>
      </c>
      <c r="C85" s="3">
        <v>1</v>
      </c>
      <c r="D85" s="3">
        <v>0</v>
      </c>
      <c r="I85" s="3">
        <v>1</v>
      </c>
    </row>
    <row r="86" spans="1:12">
      <c r="A86" s="3">
        <v>84</v>
      </c>
      <c r="B86" s="3" t="s">
        <v>33</v>
      </c>
      <c r="C86" s="3">
        <v>0</v>
      </c>
      <c r="D86" s="3">
        <v>0</v>
      </c>
      <c r="F86" s="3" t="s">
        <v>65</v>
      </c>
      <c r="G86" s="3" t="s">
        <v>64</v>
      </c>
      <c r="J86" s="3">
        <v>1</v>
      </c>
    </row>
    <row r="87" spans="1:12">
      <c r="A87" s="3">
        <v>85</v>
      </c>
      <c r="B87" s="3" t="s">
        <v>40</v>
      </c>
      <c r="C87" s="3">
        <v>1</v>
      </c>
      <c r="D87" s="3">
        <v>0</v>
      </c>
      <c r="I87" s="3">
        <v>1</v>
      </c>
    </row>
    <row r="88" spans="1:12">
      <c r="A88" s="3">
        <v>86</v>
      </c>
      <c r="B88" s="3" t="s">
        <v>33</v>
      </c>
      <c r="C88" s="3">
        <v>0</v>
      </c>
      <c r="D88" s="3">
        <v>0</v>
      </c>
      <c r="G88" s="3" t="s">
        <v>64</v>
      </c>
      <c r="J88" s="3">
        <v>1</v>
      </c>
    </row>
    <row r="89" spans="1:12">
      <c r="A89" s="3">
        <v>87</v>
      </c>
      <c r="B89" s="3" t="s">
        <v>40</v>
      </c>
      <c r="C89" s="3">
        <v>0</v>
      </c>
      <c r="D89" s="3">
        <v>-1</v>
      </c>
      <c r="F89" s="3" t="s">
        <v>63</v>
      </c>
      <c r="K89" s="3">
        <v>1</v>
      </c>
    </row>
    <row r="90" spans="1:12">
      <c r="A90" s="3">
        <v>88</v>
      </c>
      <c r="B90" s="3" t="s">
        <v>40</v>
      </c>
      <c r="C90" s="3">
        <v>0</v>
      </c>
      <c r="D90" s="3">
        <v>-2</v>
      </c>
      <c r="F90" s="3" t="s">
        <v>63</v>
      </c>
      <c r="K90" s="3">
        <v>1</v>
      </c>
    </row>
    <row r="91" spans="1:12">
      <c r="A91" s="3">
        <v>89</v>
      </c>
      <c r="B91" s="3" t="s">
        <v>40</v>
      </c>
      <c r="C91" s="3">
        <v>1</v>
      </c>
      <c r="D91" s="3">
        <v>0</v>
      </c>
      <c r="I91" s="3">
        <v>1</v>
      </c>
    </row>
    <row r="92" spans="1:12">
      <c r="A92" s="3">
        <v>90</v>
      </c>
      <c r="B92" s="3" t="s">
        <v>40</v>
      </c>
      <c r="C92" s="3">
        <v>0</v>
      </c>
      <c r="D92" s="3">
        <v>2</v>
      </c>
      <c r="F92" s="3" t="s">
        <v>63</v>
      </c>
      <c r="K92" s="3">
        <v>1</v>
      </c>
    </row>
    <row r="93" spans="1:12">
      <c r="A93" s="3">
        <v>91</v>
      </c>
      <c r="B93" s="3" t="s">
        <v>33</v>
      </c>
      <c r="C93" s="3">
        <v>1</v>
      </c>
      <c r="D93" s="3">
        <v>-4</v>
      </c>
      <c r="F93" s="3" t="s">
        <v>63</v>
      </c>
      <c r="G93" s="3" t="s">
        <v>64</v>
      </c>
      <c r="L93" s="3">
        <v>1</v>
      </c>
    </row>
    <row r="94" spans="1:12">
      <c r="A94" s="3">
        <v>92</v>
      </c>
      <c r="B94" s="3" t="s">
        <v>33</v>
      </c>
      <c r="C94" s="3">
        <v>0</v>
      </c>
      <c r="D94" s="3">
        <v>0</v>
      </c>
      <c r="G94" s="3" t="s">
        <v>64</v>
      </c>
      <c r="J94" s="3">
        <v>1</v>
      </c>
    </row>
    <row r="95" spans="1:12">
      <c r="A95" s="3">
        <v>93</v>
      </c>
      <c r="B95" s="3" t="s">
        <v>33</v>
      </c>
      <c r="C95" s="3">
        <v>0</v>
      </c>
      <c r="D95" s="3">
        <v>0</v>
      </c>
      <c r="G95" s="3" t="s">
        <v>64</v>
      </c>
      <c r="J95" s="3">
        <v>1</v>
      </c>
    </row>
    <row r="96" spans="1:12">
      <c r="A96" s="3">
        <v>94</v>
      </c>
      <c r="B96" s="3" t="s">
        <v>33</v>
      </c>
      <c r="C96" s="3">
        <v>1</v>
      </c>
      <c r="D96" s="3">
        <v>-5</v>
      </c>
      <c r="F96" s="3" t="s">
        <v>63</v>
      </c>
      <c r="G96" s="3" t="s">
        <v>64</v>
      </c>
      <c r="L96" s="3">
        <v>1</v>
      </c>
    </row>
    <row r="97" spans="1:12">
      <c r="A97" s="3">
        <v>95</v>
      </c>
      <c r="B97" s="3" t="s">
        <v>33</v>
      </c>
      <c r="C97" s="3">
        <v>1</v>
      </c>
      <c r="D97" s="3">
        <v>2</v>
      </c>
      <c r="F97" s="3" t="s">
        <v>63</v>
      </c>
      <c r="G97" s="3" t="s">
        <v>64</v>
      </c>
      <c r="L97" s="3">
        <v>1</v>
      </c>
    </row>
    <row r="98" spans="1:12">
      <c r="A98" s="3">
        <v>96</v>
      </c>
      <c r="B98" s="3" t="s">
        <v>33</v>
      </c>
      <c r="C98" s="3">
        <v>0</v>
      </c>
      <c r="D98" s="3">
        <v>0</v>
      </c>
      <c r="G98" s="3" t="s">
        <v>64</v>
      </c>
      <c r="J98" s="3">
        <v>1</v>
      </c>
    </row>
    <row r="99" spans="1:12">
      <c r="A99" s="3">
        <v>97</v>
      </c>
      <c r="B99" s="3" t="s">
        <v>40</v>
      </c>
      <c r="C99" s="3">
        <v>1</v>
      </c>
      <c r="D99" s="3">
        <v>0</v>
      </c>
      <c r="I99" s="3">
        <v>1</v>
      </c>
    </row>
    <row r="100" spans="1:12">
      <c r="A100" s="3">
        <v>98</v>
      </c>
      <c r="B100" s="3" t="s">
        <v>33</v>
      </c>
      <c r="C100" s="3">
        <v>0</v>
      </c>
      <c r="D100" s="3">
        <v>0</v>
      </c>
      <c r="G100" s="3" t="s">
        <v>64</v>
      </c>
      <c r="J100" s="3">
        <v>1</v>
      </c>
    </row>
    <row r="101" spans="1:12">
      <c r="A101" s="3">
        <v>99</v>
      </c>
      <c r="B101" s="3" t="s">
        <v>33</v>
      </c>
      <c r="C101" s="3">
        <v>1</v>
      </c>
      <c r="D101" s="3">
        <v>-1</v>
      </c>
      <c r="F101" s="3" t="s">
        <v>63</v>
      </c>
      <c r="G101" s="3" t="s">
        <v>64</v>
      </c>
      <c r="L101" s="3">
        <v>1</v>
      </c>
    </row>
    <row r="102" spans="1:12" ht="16.5">
      <c r="H102" s="7" t="s">
        <v>66</v>
      </c>
      <c r="I102" s="6">
        <f>SUM(I2:I101)</f>
        <v>29</v>
      </c>
      <c r="J102" s="6">
        <f t="shared" ref="J102:L102" si="0">SUM(J2:J101)</f>
        <v>22</v>
      </c>
      <c r="K102" s="6">
        <f t="shared" si="0"/>
        <v>20</v>
      </c>
      <c r="L102" s="6">
        <f t="shared" si="0"/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12CE-2640-4B73-8E5D-8E3EEDDD5B86}">
  <dimension ref="G4:L13"/>
  <sheetViews>
    <sheetView topLeftCell="J1" workbookViewId="0">
      <selection activeCell="M12" sqref="M12"/>
    </sheetView>
  </sheetViews>
  <sheetFormatPr defaultRowHeight="15"/>
  <cols>
    <col min="1" max="6" width="9.140625" style="1"/>
    <col min="7" max="7" width="18.85546875" style="1" customWidth="1"/>
    <col min="8" max="8" width="18.28515625" style="1" customWidth="1"/>
    <col min="9" max="9" width="19.140625" style="1" customWidth="1"/>
    <col min="10" max="10" width="9.140625" style="1"/>
    <col min="11" max="11" width="29.42578125" style="1" customWidth="1"/>
    <col min="12" max="12" width="21.28515625" style="1" customWidth="1"/>
    <col min="13" max="16384" width="9.140625" style="1"/>
  </cols>
  <sheetData>
    <row r="4" spans="7:12">
      <c r="G4" s="8"/>
      <c r="H4" s="8" t="s">
        <v>51</v>
      </c>
      <c r="I4" s="9" t="s">
        <v>52</v>
      </c>
      <c r="K4" s="8" t="s">
        <v>67</v>
      </c>
      <c r="L4" s="10">
        <f>H10/(H10+I10)</f>
        <v>0.56862745098039214</v>
      </c>
    </row>
    <row r="5" spans="7:12">
      <c r="G5" s="8" t="s">
        <v>54</v>
      </c>
      <c r="H5" s="11" t="s">
        <v>55</v>
      </c>
      <c r="I5" s="11" t="s">
        <v>56</v>
      </c>
      <c r="K5" s="8" t="s">
        <v>68</v>
      </c>
      <c r="L5" s="10">
        <f>H11/(H11+I11)</f>
        <v>0.40816326530612246</v>
      </c>
    </row>
    <row r="6" spans="7:12">
      <c r="G6" s="8" t="s">
        <v>57</v>
      </c>
      <c r="H6" s="11" t="s">
        <v>58</v>
      </c>
      <c r="I6" s="11" t="s">
        <v>59</v>
      </c>
    </row>
    <row r="8" spans="7:12">
      <c r="K8" s="8" t="s">
        <v>69</v>
      </c>
      <c r="L8" s="10">
        <f>NORMSINV(L4) - NORMSINV(L5)</f>
        <v>0.40515312623339284</v>
      </c>
    </row>
    <row r="9" spans="7:12">
      <c r="G9" s="11"/>
      <c r="H9" s="11" t="s">
        <v>51</v>
      </c>
      <c r="I9" s="9" t="s">
        <v>52</v>
      </c>
      <c r="K9" s="8" t="s">
        <v>70</v>
      </c>
      <c r="L9" s="10">
        <f>-(NORMSINV(L4) + NORMSINV(L5))/2</f>
        <v>2.9695730365929499E-2</v>
      </c>
    </row>
    <row r="10" spans="7:12">
      <c r="G10" s="11" t="s">
        <v>54</v>
      </c>
      <c r="H10" s="10">
        <v>29</v>
      </c>
      <c r="I10" s="10">
        <v>22</v>
      </c>
    </row>
    <row r="11" spans="7:12">
      <c r="G11" s="11" t="s">
        <v>57</v>
      </c>
      <c r="H11" s="10">
        <v>20</v>
      </c>
      <c r="I11" s="10">
        <v>29</v>
      </c>
    </row>
    <row r="12" spans="7:12">
      <c r="K12" s="20" t="s">
        <v>53</v>
      </c>
      <c r="L12" s="10">
        <f>NORMSINV(L4)</f>
        <v>0.17288083275076693</v>
      </c>
    </row>
    <row r="13" spans="7:12">
      <c r="K13" s="20" t="s">
        <v>60</v>
      </c>
      <c r="L13" s="10">
        <f>NORMSINV(L5)</f>
        <v>-0.23227229348262593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2026-10-04T04:38:08Z</dcterms:created>
  <dcterms:modified xsi:type="dcterms:W3CDTF">2026-10-04T18:53:55Z</dcterms:modified>
  <cp:category/>
  <cp:contentStatus/>
</cp:coreProperties>
</file>